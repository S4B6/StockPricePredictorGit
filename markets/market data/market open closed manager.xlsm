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ouzi\Documents\StockPricePredictorGit\markets\market data\"/>
    </mc:Choice>
  </mc:AlternateContent>
  <xr:revisionPtr revIDLastSave="0" documentId="13_ncr:1_{F3DAB49B-70D8-46B7-8BE7-FEBDEA417EBD}" xr6:coauthVersionLast="47" xr6:coauthVersionMax="47" xr10:uidLastSave="{00000000-0000-0000-0000-000000000000}"/>
  <bookViews>
    <workbookView xWindow="28680" yWindow="-8295" windowWidth="29040" windowHeight="16440" activeTab="2" xr2:uid="{6C68246C-0755-4DE5-BD00-33E9BE64BF31}"/>
  </bookViews>
  <sheets>
    <sheet name="macro" sheetId="6" r:id="rId1"/>
    <sheet name="paste from Investing" sheetId="2" r:id="rId2"/>
    <sheet name="exchanges" sheetId="1" r:id="rId3"/>
    <sheet name="holiday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A2" i="5" a="1"/>
  <c r="A2" i="5" s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<sst xmlns="http://schemas.openxmlformats.org/spreadsheetml/2006/main" count="729" uniqueCount="284">
  <si>
    <t>Date</t>
  </si>
  <si>
    <t>Exchange Name</t>
  </si>
  <si>
    <t>Holiday</t>
  </si>
  <si>
    <t> Colombia</t>
  </si>
  <si>
    <t>Colombia Stock Exchange</t>
  </si>
  <si>
    <t>All Saint's Day</t>
  </si>
  <si>
    <t> Ecuador</t>
  </si>
  <si>
    <t>Quito Stock Exchange</t>
  </si>
  <si>
    <t>Independence Day</t>
  </si>
  <si>
    <t> Japan</t>
  </si>
  <si>
    <t>Tokyo Stock Exchange</t>
  </si>
  <si>
    <t>Culture Day</t>
  </si>
  <si>
    <t> Russia</t>
  </si>
  <si>
    <t>Moscow Stock Exchange</t>
  </si>
  <si>
    <t>Unity Day</t>
  </si>
  <si>
    <t> India</t>
  </si>
  <si>
    <t>India National Stock Exchange</t>
  </si>
  <si>
    <t>Guru Nanak Jayanti</t>
  </si>
  <si>
    <t> Sri Lanka</t>
  </si>
  <si>
    <t>Colombo Stock Exchange</t>
  </si>
  <si>
    <t>Ill Full Moon Poya Day</t>
  </si>
  <si>
    <t> Morocco</t>
  </si>
  <si>
    <t>Casablanca Stock Exchange</t>
  </si>
  <si>
    <t>Day of the Green March</t>
  </si>
  <si>
    <t> Cayman Islands</t>
  </si>
  <si>
    <t>Cayman Islands Stock Exchange</t>
  </si>
  <si>
    <t>Armistice Day in World War I</t>
  </si>
  <si>
    <t> Bermuda</t>
  </si>
  <si>
    <t>Bermuda Stock Exchange</t>
  </si>
  <si>
    <t> Canada</t>
  </si>
  <si>
    <t>Canadian Securities Exchange</t>
  </si>
  <si>
    <t>Toronto Stock Exchange</t>
  </si>
  <si>
    <t>Remembrance Day</t>
  </si>
  <si>
    <t> Poland</t>
  </si>
  <si>
    <t>Warsaw Stock Exchange</t>
  </si>
  <si>
    <t> Serbia</t>
  </si>
  <si>
    <t>Belgrade</t>
  </si>
  <si>
    <t> Argentina</t>
  </si>
  <si>
    <t>Buenos Aires Stock Exchange</t>
  </si>
  <si>
    <t>National Sovereignty and Children Day</t>
  </si>
  <si>
    <t> Czech Republic</t>
  </si>
  <si>
    <t>Prague Stock Exchange</t>
  </si>
  <si>
    <t>Revolution Day</t>
  </si>
  <si>
    <t> Mexico</t>
  </si>
  <si>
    <t>Mexico Stock Exchange</t>
  </si>
  <si>
    <t> Slovakia</t>
  </si>
  <si>
    <t>Bratislava Stock Exchange</t>
  </si>
  <si>
    <t>Democracy Day</t>
  </si>
  <si>
    <t> Slovenia</t>
  </si>
  <si>
    <t>Ljubljana Stock Exchange</t>
  </si>
  <si>
    <t> Croatia</t>
  </si>
  <si>
    <t>Zagreb Stock Exchange</t>
  </si>
  <si>
    <t> Latvia</t>
  </si>
  <si>
    <t>NASDAQ OMX Riga</t>
  </si>
  <si>
    <t>Republic Day</t>
  </si>
  <si>
    <t> Oman</t>
  </si>
  <si>
    <t>Oman Stock Exchange</t>
  </si>
  <si>
    <t>Islamic New Year (Hijri)</t>
  </si>
  <si>
    <t> Brazil</t>
  </si>
  <si>
    <t>B3 Stock Exchange</t>
  </si>
  <si>
    <t>Black Awareness Day</t>
  </si>
  <si>
    <t> Mongolia</t>
  </si>
  <si>
    <t>Mongolia Stock exchange</t>
  </si>
  <si>
    <t>Great Chinggiss Khaan’s birthday</t>
  </si>
  <si>
    <t> Lebanon</t>
  </si>
  <si>
    <t>Beirut Stock Exchange</t>
  </si>
  <si>
    <t>Labor Day</t>
  </si>
  <si>
    <t> Bosnia-Herzegovina</t>
  </si>
  <si>
    <t>Bosnia</t>
  </si>
  <si>
    <t>National Day</t>
  </si>
  <si>
    <t> United States</t>
  </si>
  <si>
    <t>New York Stock Exchange</t>
  </si>
  <si>
    <t>Thanksgiving Day</t>
  </si>
  <si>
    <t>Thanksgiving Day - Early close at 13:00</t>
  </si>
  <si>
    <t> Costa Rica</t>
  </si>
  <si>
    <t>Costa Rica Stock Exchange</t>
  </si>
  <si>
    <t> Portugal</t>
  </si>
  <si>
    <t>Lisbon Stock Exchange</t>
  </si>
  <si>
    <t>Restoration of Independence</t>
  </si>
  <si>
    <t> Romania</t>
  </si>
  <si>
    <t>Bucharest Stock Exchange</t>
  </si>
  <si>
    <t> United Arab Emirates</t>
  </si>
  <si>
    <t>Dubai Stock Exchange</t>
  </si>
  <si>
    <t>Abu Dhabi</t>
  </si>
  <si>
    <t>Unduwap Full Moon Poya Day</t>
  </si>
  <si>
    <t> Thailand</t>
  </si>
  <si>
    <t>Thailand Stock Exchange</t>
  </si>
  <si>
    <t>H.M. the Late King's Birthday</t>
  </si>
  <si>
    <t>Feast of the Immaculate Conception</t>
  </si>
  <si>
    <t> Chile</t>
  </si>
  <si>
    <t>Santiago Stock Exchange</t>
  </si>
  <si>
    <t> Malta</t>
  </si>
  <si>
    <t>Malta Stock Exchange</t>
  </si>
  <si>
    <t> Peru</t>
  </si>
  <si>
    <t>Lima Stock Exchange</t>
  </si>
  <si>
    <t> Philippines</t>
  </si>
  <si>
    <t>Philippines Stock Exchange</t>
  </si>
  <si>
    <t> Tanzania</t>
  </si>
  <si>
    <t>Dar Es Salaam Stock Exchange</t>
  </si>
  <si>
    <t>Constitution Day</t>
  </si>
  <si>
    <t> Kenya</t>
  </si>
  <si>
    <t>Kenya Stock Exchange</t>
  </si>
  <si>
    <t>Bank Holiday</t>
  </si>
  <si>
    <t> Bahrain</t>
  </si>
  <si>
    <t>Bahrain Stock Exchange</t>
  </si>
  <si>
    <t> Bangladesh</t>
  </si>
  <si>
    <t>Dhaka Stock Exchange</t>
  </si>
  <si>
    <t> Kazakhstan</t>
  </si>
  <si>
    <t>Kazakhstan Stock exchange</t>
  </si>
  <si>
    <t> Namibia</t>
  </si>
  <si>
    <t>Namibia Stock Exchange</t>
  </si>
  <si>
    <t>Day of Reconciliation</t>
  </si>
  <si>
    <t> South Africa</t>
  </si>
  <si>
    <t>Johannesburg Stock Exchange</t>
  </si>
  <si>
    <t> Qatar</t>
  </si>
  <si>
    <t>Doha Stock Exchange</t>
  </si>
  <si>
    <t> Zimbabwe</t>
  </si>
  <si>
    <t>Zimbabwe Stock Exchange</t>
  </si>
  <si>
    <t>Christmas</t>
  </si>
  <si>
    <t> Australia</t>
  </si>
  <si>
    <t>Sydney Stock Exchange</t>
  </si>
  <si>
    <t>Christmas - Early close at 14:00</t>
  </si>
  <si>
    <t> Austria</t>
  </si>
  <si>
    <t>Vienna Stock Exchange</t>
  </si>
  <si>
    <t> Belgium</t>
  </si>
  <si>
    <t>Brussels Stock Exchange</t>
  </si>
  <si>
    <t>Christmas - Early close at 13:55</t>
  </si>
  <si>
    <t>Christmas Eve</t>
  </si>
  <si>
    <t> Bulgaria</t>
  </si>
  <si>
    <t>Sofia Stock Exchange</t>
  </si>
  <si>
    <t> Cyprus</t>
  </si>
  <si>
    <t>Cyprus Stock Exchange</t>
  </si>
  <si>
    <t> Denmark</t>
  </si>
  <si>
    <t>Copenhagen Stock Exchange</t>
  </si>
  <si>
    <t> Estonia</t>
  </si>
  <si>
    <t>Tallinn Stock Exchange</t>
  </si>
  <si>
    <t> Finland</t>
  </si>
  <si>
    <t>Helsinki Stock Exchange</t>
  </si>
  <si>
    <t> France</t>
  </si>
  <si>
    <t>Paris Stock Exchange</t>
  </si>
  <si>
    <t>Christmas - Early close at 14:05</t>
  </si>
  <si>
    <t> Germany</t>
  </si>
  <si>
    <t>Frankfurt Stock Exchange</t>
  </si>
  <si>
    <t> Hungary</t>
  </si>
  <si>
    <t>Budapest Stock Exchange</t>
  </si>
  <si>
    <t> Iceland</t>
  </si>
  <si>
    <t>Iceland Stock Exchange</t>
  </si>
  <si>
    <t> Ireland</t>
  </si>
  <si>
    <t>Ireland Stock Exchange</t>
  </si>
  <si>
    <t>Christmas - Early close at 12:28</t>
  </si>
  <si>
    <t> Italy</t>
  </si>
  <si>
    <t>Milan Stock Exchange</t>
  </si>
  <si>
    <t> Lithuania</t>
  </si>
  <si>
    <t>Vilnius Stock Exchange</t>
  </si>
  <si>
    <t> Netherlands</t>
  </si>
  <si>
    <t>Amsterdam Stock Exchange</t>
  </si>
  <si>
    <t> New Zealand</t>
  </si>
  <si>
    <t>New Zealand Exchange</t>
  </si>
  <si>
    <t>Christmas - Early close at 12:45</t>
  </si>
  <si>
    <t>Christmas - Early close at 11:52</t>
  </si>
  <si>
    <t> Spain</t>
  </si>
  <si>
    <t>Madrid Stock Exchange</t>
  </si>
  <si>
    <t> Sweden</t>
  </si>
  <si>
    <t>Stockholm Stock Exchange</t>
  </si>
  <si>
    <t> Switzerland</t>
  </si>
  <si>
    <t>Switzerland Stock Exchange</t>
  </si>
  <si>
    <t> United Kingdom</t>
  </si>
  <si>
    <t>London Stock Exchange</t>
  </si>
  <si>
    <t>Christmas - Early close at 12:30</t>
  </si>
  <si>
    <t>Christmas - Early close at 13:00</t>
  </si>
  <si>
    <t> Venezuela</t>
  </si>
  <si>
    <t>Caracas Stock Exchange</t>
  </si>
  <si>
    <t> Botswana</t>
  </si>
  <si>
    <t>Botswana Stock Exchange</t>
  </si>
  <si>
    <t>TSX Venture Exchange</t>
  </si>
  <si>
    <t> Greece</t>
  </si>
  <si>
    <t>Athens Stock Exchange</t>
  </si>
  <si>
    <t> Hong Kong</t>
  </si>
  <si>
    <t>Hong Kong Stock Exchange</t>
  </si>
  <si>
    <t> Indonesia</t>
  </si>
  <si>
    <t>Jakarta Stock Exchange</t>
  </si>
  <si>
    <t> Jamaica</t>
  </si>
  <si>
    <t>Jamaica Stock exchange</t>
  </si>
  <si>
    <t> Jordan</t>
  </si>
  <si>
    <t>Amman Stock Exchange</t>
  </si>
  <si>
    <t> Luxembourg</t>
  </si>
  <si>
    <t>Luxembourg Stock Exchange</t>
  </si>
  <si>
    <t> Malaysia</t>
  </si>
  <si>
    <t>Kuala Lumpur Stock Exchange</t>
  </si>
  <si>
    <t> Mauritius</t>
  </si>
  <si>
    <t>Stock Exchange of Mauritius</t>
  </si>
  <si>
    <t> Nigeria</t>
  </si>
  <si>
    <t>Lagos</t>
  </si>
  <si>
    <t> Norway</t>
  </si>
  <si>
    <t>Oslo Stock Exchange</t>
  </si>
  <si>
    <t> Pakistan</t>
  </si>
  <si>
    <t>Karachi Stock Exchange</t>
  </si>
  <si>
    <t>Quaid-e-Azam Day</t>
  </si>
  <si>
    <t> Palestinian Territory</t>
  </si>
  <si>
    <t>Ramallah Stock Exchange</t>
  </si>
  <si>
    <t> Rwanda</t>
  </si>
  <si>
    <t>Rwanda Stock Exchange</t>
  </si>
  <si>
    <t> Singapore</t>
  </si>
  <si>
    <t>Singapore Stock Exchange</t>
  </si>
  <si>
    <t> South Korea</t>
  </si>
  <si>
    <t>Seoul Stock Exchange</t>
  </si>
  <si>
    <t>KOSDAQ</t>
  </si>
  <si>
    <t> Ukraine</t>
  </si>
  <si>
    <t>Ukraine Stock Exchange</t>
  </si>
  <si>
    <t>Aquis Exchange</t>
  </si>
  <si>
    <t>Boxing Day</t>
  </si>
  <si>
    <t>St. Stephen's Day</t>
  </si>
  <si>
    <t>The first weekday after Christmas Day</t>
  </si>
  <si>
    <t>Mexico</t>
  </si>
  <si>
    <t>US</t>
  </si>
  <si>
    <t>Canada</t>
  </si>
  <si>
    <t>Australia</t>
  </si>
  <si>
    <t>France</t>
  </si>
  <si>
    <t>Germany</t>
  </si>
  <si>
    <t>United Kingdom</t>
  </si>
  <si>
    <t>China</t>
  </si>
  <si>
    <t>India</t>
  </si>
  <si>
    <t>Japan</t>
  </si>
  <si>
    <t>South Korea</t>
  </si>
  <si>
    <t>Hong Kong</t>
  </si>
  <si>
    <t>Saudi Arabia</t>
  </si>
  <si>
    <t>NASDAQ</t>
  </si>
  <si>
    <t>market_open_local</t>
  </si>
  <si>
    <t>market_close_local</t>
  </si>
  <si>
    <t>DST_used</t>
  </si>
  <si>
    <t>utc_offset_indication</t>
  </si>
  <si>
    <t>America/Mexico_City</t>
  </si>
  <si>
    <t>yes</t>
  </si>
  <si>
    <t>America/New_York</t>
  </si>
  <si>
    <t>America/Toronto</t>
  </si>
  <si>
    <t>Australia/Sydney</t>
  </si>
  <si>
    <t>Europe/Paris</t>
  </si>
  <si>
    <t>Europe/Berlin</t>
  </si>
  <si>
    <t>Europe/London</t>
  </si>
  <si>
    <t>Asia/Shanghai</t>
  </si>
  <si>
    <t>no</t>
  </si>
  <si>
    <t>Asia/Kolkata</t>
  </si>
  <si>
    <t>Asia/Tokyo</t>
  </si>
  <si>
    <t>Asia/Seoul</t>
  </si>
  <si>
    <t>Asia/Hong_Kong</t>
  </si>
  <si>
    <t>Asia/Riyadh</t>
  </si>
  <si>
    <t>timezone</t>
  </si>
  <si>
    <t>CBOE</t>
  </si>
  <si>
    <t>BMV</t>
  </si>
  <si>
    <t>Bolsa Mexicana de Valores</t>
  </si>
  <si>
    <t>United States</t>
  </si>
  <si>
    <t>NYSE</t>
  </si>
  <si>
    <t>Nasdaq Stock Market</t>
  </si>
  <si>
    <t>TSX</t>
  </si>
  <si>
    <t>ASX</t>
  </si>
  <si>
    <t>Australian Securities Exchange</t>
  </si>
  <si>
    <t>Euronext Paris</t>
  </si>
  <si>
    <t>Euronext Paris Stock Exchange</t>
  </si>
  <si>
    <t>Frankfurt Stock Exchange (Frankfurter Wertpapierbörse)</t>
  </si>
  <si>
    <t>LSE</t>
  </si>
  <si>
    <t>SSE</t>
  </si>
  <si>
    <t>Shanghai Stock Exchange</t>
  </si>
  <si>
    <t>SZSE</t>
  </si>
  <si>
    <t>Shenzhen Stock Exchange</t>
  </si>
  <si>
    <t>NSE</t>
  </si>
  <si>
    <t>National Stock Exchange of India</t>
  </si>
  <si>
    <t>TSE</t>
  </si>
  <si>
    <t>KRX</t>
  </si>
  <si>
    <t>Korea Exchange</t>
  </si>
  <si>
    <t>HKEX</t>
  </si>
  <si>
    <t>Hong Kong Exchanges and Clearing Limited</t>
  </si>
  <si>
    <t>Tadawul</t>
  </si>
  <si>
    <t>Saudi Stock Exchange (Tadawul)</t>
  </si>
  <si>
    <t>exchange</t>
  </si>
  <si>
    <t>exchange_full_name</t>
  </si>
  <si>
    <t>Cboe Global Markets</t>
  </si>
  <si>
    <t>country</t>
  </si>
  <si>
    <t>Xetra</t>
  </si>
  <si>
    <t xml:space="preserve">Country </t>
  </si>
  <si>
    <t>Remove space from country</t>
  </si>
  <si>
    <t>vlookup to check</t>
  </si>
  <si>
    <t>date</t>
  </si>
  <si>
    <t>holiday_name</t>
  </si>
  <si>
    <t>country_name_two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</si>
</sst>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5" fontId="0" fillId="0" borderId="0" xfId="0" applyNumberFormat="1"/>
    <xf numFmtId="164" fontId="0" fillId="0" borderId="0" xfId="0" applyNumberFormat="1"/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164" fontId="1" fillId="3" borderId="0" xfId="0" applyNumberFormat="1" applyFont="1" applyFill="1"/>
    <xf numFmtId="14" fontId="0" fillId="0" borderId="0" xfId="0" applyNumberFormat="1"/>
    <xf numFmtId="0" fontId="1" fillId="4" borderId="0" xfId="0" applyFont="1" applyFill="1"/>
    <xf numFmtId="0" fontId="2" fillId="0" borderId="0" xfId="0" applyFont="1"/>
    <xf numFmtId="14" fontId="1" fillId="5" borderId="0" xfId="0" applyNumberFormat="1" applyFont="1" applyFill="1"/>
    <xf numFmtId="0" fontId="1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449580</xdr:colOff>
          <xdr:row>1</xdr:row>
          <xdr:rowOff>99060</xdr:rowOff>
        </xdr:from>
        <xdr:to>
          <xdr:col>2</xdr:col>
          <xdr:colOff>266700</xdr:colOff>
          <xdr:row>4</xdr:row>
          <xdr:rowOff>60960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sheets into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91CAC-20E0-469B-8A53-961A7DA19971}">
  <sheetPr>
    <tabColor rgb="FFFF0000"/>
  </sheetPr>
  <dimension ref="A1"/>
  <sheetViews>
    <sheetView workbookViewId="0">
      <selection activeCell="F42" sqref="F42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ExportAllSheetsToCSV">
                <anchor moveWithCells="1" sizeWithCells="1">
                  <from>
                    <xdr:col>0</xdr:col>
                    <xdr:colOff>449580</xdr:colOff>
                    <xdr:row>1</xdr:row>
                    <xdr:rowOff>99060</xdr:rowOff>
                  </from>
                  <to>
                    <xdr:col>2</xdr:col>
                    <xdr:colOff>266700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B547B-1136-427C-B2A0-D278BD6161E9}">
  <sheetPr codeName="Sheet2">
    <tabColor rgb="FFFFFF00"/>
  </sheetPr>
  <dimension ref="A1:G210"/>
  <sheetViews>
    <sheetView topLeftCell="D1" zoomScale="130" zoomScaleNormal="130" workbookViewId="0">
      <selection activeCell="E33" sqref="E33"/>
    </sheetView>
  </sheetViews>
  <sheetFormatPr defaultRowHeight="14.4" x14ac:dyDescent="0.3"/>
  <cols>
    <col min="1" max="1" width="9.6640625" bestFit="1" customWidth="1"/>
    <col min="2" max="2" width="19.88671875" bestFit="1" customWidth="1"/>
    <col min="3" max="3" width="28.21875" bestFit="1" customWidth="1"/>
    <col min="4" max="4" width="34.88671875" bestFit="1" customWidth="1"/>
    <col min="5" max="5" width="25" bestFit="1" customWidth="1"/>
    <col min="7" max="7" width="11" style="7" bestFit="1" customWidth="1"/>
    <col min="8" max="8" width="14.6640625" bestFit="1" customWidth="1"/>
    <col min="9" max="9" width="25.88671875" bestFit="1" customWidth="1"/>
    <col min="10" max="10" width="33.21875" bestFit="1" customWidth="1"/>
  </cols>
  <sheetData>
    <row r="1" spans="1:5" x14ac:dyDescent="0.3">
      <c r="A1" s="4" t="s">
        <v>0</v>
      </c>
      <c r="B1" s="4" t="s">
        <v>278</v>
      </c>
      <c r="C1" s="4" t="s">
        <v>1</v>
      </c>
      <c r="D1" s="4" t="s">
        <v>2</v>
      </c>
      <c r="E1" s="5" t="s">
        <v>279</v>
      </c>
    </row>
    <row r="2" spans="1:5" x14ac:dyDescent="0.3">
      <c r="A2" s="1">
        <v>45964</v>
      </c>
      <c r="B2" t="s">
        <v>3</v>
      </c>
      <c r="C2" t="s">
        <v>4</v>
      </c>
      <c r="D2" t="s">
        <v>5</v>
      </c>
      <c r="E2" t="str">
        <f>TRIM(SUBSTITUTE(B2,CHAR(160),""))</f>
        <v>Colombia</v>
      </c>
    </row>
    <row r="3" spans="1:5" x14ac:dyDescent="0.3">
      <c r="A3" s="1">
        <v>45964</v>
      </c>
      <c r="B3" t="s">
        <v>6</v>
      </c>
      <c r="C3" t="s">
        <v>7</v>
      </c>
      <c r="D3" t="s">
        <v>8</v>
      </c>
      <c r="E3" t="str">
        <f t="shared" ref="E3:E66" si="0">TRIM(SUBSTITUTE(B3,CHAR(160),""))</f>
        <v>Ecuador</v>
      </c>
    </row>
    <row r="4" spans="1:5" x14ac:dyDescent="0.3">
      <c r="A4" s="1">
        <v>45964</v>
      </c>
      <c r="B4" t="s">
        <v>9</v>
      </c>
      <c r="C4" t="s">
        <v>10</v>
      </c>
      <c r="D4" t="s">
        <v>11</v>
      </c>
      <c r="E4" t="str">
        <f t="shared" si="0"/>
        <v>Japan</v>
      </c>
    </row>
    <row r="5" spans="1:5" x14ac:dyDescent="0.3">
      <c r="A5" s="1">
        <v>45964</v>
      </c>
      <c r="B5" t="s">
        <v>12</v>
      </c>
      <c r="C5" t="s">
        <v>13</v>
      </c>
      <c r="D5" t="s">
        <v>2</v>
      </c>
      <c r="E5" t="str">
        <f t="shared" si="0"/>
        <v>Russia</v>
      </c>
    </row>
    <row r="6" spans="1:5" x14ac:dyDescent="0.3">
      <c r="A6" s="1">
        <v>45965</v>
      </c>
      <c r="B6" t="s">
        <v>6</v>
      </c>
      <c r="C6" t="s">
        <v>7</v>
      </c>
      <c r="D6" t="s">
        <v>5</v>
      </c>
      <c r="E6" t="str">
        <f t="shared" si="0"/>
        <v>Ecuador</v>
      </c>
    </row>
    <row r="7" spans="1:5" x14ac:dyDescent="0.3">
      <c r="A7" s="1">
        <v>45965</v>
      </c>
      <c r="B7" t="s">
        <v>12</v>
      </c>
      <c r="C7" t="s">
        <v>13</v>
      </c>
      <c r="D7" t="s">
        <v>14</v>
      </c>
      <c r="E7" t="str">
        <f t="shared" si="0"/>
        <v>Russia</v>
      </c>
    </row>
    <row r="8" spans="1:5" x14ac:dyDescent="0.3">
      <c r="A8" s="1">
        <v>45966</v>
      </c>
      <c r="B8" t="s">
        <v>15</v>
      </c>
      <c r="C8" t="s">
        <v>16</v>
      </c>
      <c r="D8" t="s">
        <v>17</v>
      </c>
      <c r="E8" t="str">
        <f t="shared" si="0"/>
        <v>India</v>
      </c>
    </row>
    <row r="9" spans="1:5" x14ac:dyDescent="0.3">
      <c r="A9" s="1">
        <v>45966</v>
      </c>
      <c r="B9" t="s">
        <v>18</v>
      </c>
      <c r="C9" t="s">
        <v>19</v>
      </c>
      <c r="D9" t="s">
        <v>20</v>
      </c>
      <c r="E9" t="str">
        <f t="shared" si="0"/>
        <v>Sri Lanka</v>
      </c>
    </row>
    <row r="10" spans="1:5" x14ac:dyDescent="0.3">
      <c r="A10" s="1">
        <v>45967</v>
      </c>
      <c r="B10" t="s">
        <v>21</v>
      </c>
      <c r="C10" t="s">
        <v>22</v>
      </c>
      <c r="D10" t="s">
        <v>23</v>
      </c>
      <c r="E10" t="str">
        <f t="shared" si="0"/>
        <v>Morocco</v>
      </c>
    </row>
    <row r="11" spans="1:5" x14ac:dyDescent="0.3">
      <c r="A11" s="1">
        <v>45971</v>
      </c>
      <c r="B11" t="s">
        <v>24</v>
      </c>
      <c r="C11" t="s">
        <v>25</v>
      </c>
      <c r="D11" t="s">
        <v>26</v>
      </c>
      <c r="E11" t="str">
        <f t="shared" si="0"/>
        <v>Cayman Islands</v>
      </c>
    </row>
    <row r="12" spans="1:5" x14ac:dyDescent="0.3">
      <c r="A12" s="1">
        <v>45972</v>
      </c>
      <c r="B12" t="s">
        <v>27</v>
      </c>
      <c r="C12" t="s">
        <v>28</v>
      </c>
      <c r="D12" t="s">
        <v>26</v>
      </c>
      <c r="E12" t="str">
        <f t="shared" si="0"/>
        <v>Bermuda</v>
      </c>
    </row>
    <row r="13" spans="1:5" x14ac:dyDescent="0.3">
      <c r="A13" s="1">
        <v>45972</v>
      </c>
      <c r="B13" t="s">
        <v>29</v>
      </c>
      <c r="C13" t="s">
        <v>30</v>
      </c>
      <c r="D13" t="s">
        <v>26</v>
      </c>
      <c r="E13" t="str">
        <f t="shared" si="0"/>
        <v>Canada</v>
      </c>
    </row>
    <row r="14" spans="1:5" x14ac:dyDescent="0.3">
      <c r="A14" s="1">
        <v>45972</v>
      </c>
      <c r="B14" t="s">
        <v>29</v>
      </c>
      <c r="C14" t="s">
        <v>31</v>
      </c>
      <c r="D14" t="s">
        <v>32</v>
      </c>
      <c r="E14" t="str">
        <f t="shared" si="0"/>
        <v>Canada</v>
      </c>
    </row>
    <row r="15" spans="1:5" x14ac:dyDescent="0.3">
      <c r="A15" s="1">
        <v>45972</v>
      </c>
      <c r="B15" t="s">
        <v>33</v>
      </c>
      <c r="C15" t="s">
        <v>34</v>
      </c>
      <c r="D15" t="s">
        <v>8</v>
      </c>
      <c r="E15" t="str">
        <f t="shared" si="0"/>
        <v>Poland</v>
      </c>
    </row>
    <row r="16" spans="1:5" x14ac:dyDescent="0.3">
      <c r="A16" s="1">
        <v>45972</v>
      </c>
      <c r="B16" t="s">
        <v>35</v>
      </c>
      <c r="C16" t="s">
        <v>36</v>
      </c>
      <c r="D16" t="s">
        <v>26</v>
      </c>
      <c r="E16" t="str">
        <f t="shared" si="0"/>
        <v>Serbia</v>
      </c>
    </row>
    <row r="17" spans="1:5" x14ac:dyDescent="0.3">
      <c r="A17" s="1">
        <v>45978</v>
      </c>
      <c r="B17" t="s">
        <v>37</v>
      </c>
      <c r="C17" t="s">
        <v>38</v>
      </c>
      <c r="D17" t="s">
        <v>39</v>
      </c>
      <c r="E17" t="str">
        <f t="shared" si="0"/>
        <v>Argentina</v>
      </c>
    </row>
    <row r="18" spans="1:5" x14ac:dyDescent="0.3">
      <c r="A18" s="1">
        <v>45978</v>
      </c>
      <c r="B18" t="s">
        <v>3</v>
      </c>
      <c r="C18" t="s">
        <v>4</v>
      </c>
      <c r="D18" t="s">
        <v>8</v>
      </c>
      <c r="E18" t="str">
        <f t="shared" si="0"/>
        <v>Colombia</v>
      </c>
    </row>
    <row r="19" spans="1:5" x14ac:dyDescent="0.3">
      <c r="A19" s="1">
        <v>45978</v>
      </c>
      <c r="B19" t="s">
        <v>40</v>
      </c>
      <c r="C19" t="s">
        <v>41</v>
      </c>
      <c r="D19" t="s">
        <v>42</v>
      </c>
      <c r="E19" t="str">
        <f t="shared" si="0"/>
        <v>Czech Republic</v>
      </c>
    </row>
    <row r="20" spans="1:5" x14ac:dyDescent="0.3">
      <c r="A20" s="1">
        <v>45978</v>
      </c>
      <c r="B20" t="s">
        <v>43</v>
      </c>
      <c r="C20" t="s">
        <v>44</v>
      </c>
      <c r="D20" t="s">
        <v>42</v>
      </c>
      <c r="E20" t="str">
        <f t="shared" si="0"/>
        <v>Mexico</v>
      </c>
    </row>
    <row r="21" spans="1:5" x14ac:dyDescent="0.3">
      <c r="A21" s="1">
        <v>45978</v>
      </c>
      <c r="B21" t="s">
        <v>45</v>
      </c>
      <c r="C21" t="s">
        <v>46</v>
      </c>
      <c r="D21" t="s">
        <v>47</v>
      </c>
      <c r="E21" t="str">
        <f t="shared" si="0"/>
        <v>Slovakia</v>
      </c>
    </row>
    <row r="22" spans="1:5" x14ac:dyDescent="0.3">
      <c r="A22" s="1">
        <v>45978</v>
      </c>
      <c r="B22" t="s">
        <v>48</v>
      </c>
      <c r="C22" t="s">
        <v>49</v>
      </c>
      <c r="D22" t="s">
        <v>47</v>
      </c>
      <c r="E22" t="str">
        <f t="shared" si="0"/>
        <v>Slovenia</v>
      </c>
    </row>
    <row r="23" spans="1:5" x14ac:dyDescent="0.3">
      <c r="A23" s="1">
        <v>45979</v>
      </c>
      <c r="B23" t="s">
        <v>50</v>
      </c>
      <c r="C23" t="s">
        <v>51</v>
      </c>
      <c r="D23" t="s">
        <v>26</v>
      </c>
      <c r="E23" t="str">
        <f t="shared" si="0"/>
        <v>Croatia</v>
      </c>
    </row>
    <row r="24" spans="1:5" x14ac:dyDescent="0.3">
      <c r="A24" s="1">
        <v>45979</v>
      </c>
      <c r="B24" t="s">
        <v>52</v>
      </c>
      <c r="C24" t="s">
        <v>53</v>
      </c>
      <c r="D24" t="s">
        <v>54</v>
      </c>
      <c r="E24" t="str">
        <f t="shared" si="0"/>
        <v>Latvia</v>
      </c>
    </row>
    <row r="25" spans="1:5" x14ac:dyDescent="0.3">
      <c r="A25" s="1">
        <v>45979</v>
      </c>
      <c r="B25" t="s">
        <v>21</v>
      </c>
      <c r="C25" t="s">
        <v>22</v>
      </c>
      <c r="D25" t="s">
        <v>8</v>
      </c>
      <c r="E25" t="str">
        <f t="shared" si="0"/>
        <v>Morocco</v>
      </c>
    </row>
    <row r="26" spans="1:5" x14ac:dyDescent="0.3">
      <c r="A26" s="1">
        <v>45979</v>
      </c>
      <c r="B26" t="s">
        <v>55</v>
      </c>
      <c r="C26" t="s">
        <v>56</v>
      </c>
      <c r="D26" t="s">
        <v>57</v>
      </c>
      <c r="E26" t="str">
        <f t="shared" si="0"/>
        <v>Oman</v>
      </c>
    </row>
    <row r="27" spans="1:5" x14ac:dyDescent="0.3">
      <c r="A27" s="1">
        <v>45981</v>
      </c>
      <c r="B27" t="s">
        <v>58</v>
      </c>
      <c r="C27" t="s">
        <v>59</v>
      </c>
      <c r="D27" t="s">
        <v>60</v>
      </c>
      <c r="E27" t="str">
        <f t="shared" si="0"/>
        <v>Brazil</v>
      </c>
    </row>
    <row r="28" spans="1:5" x14ac:dyDescent="0.3">
      <c r="A28" s="1">
        <v>45982</v>
      </c>
      <c r="B28" t="s">
        <v>61</v>
      </c>
      <c r="C28" t="s">
        <v>62</v>
      </c>
      <c r="D28" t="s">
        <v>63</v>
      </c>
      <c r="E28" t="str">
        <f t="shared" si="0"/>
        <v>Mongolia</v>
      </c>
    </row>
    <row r="29" spans="1:5" x14ac:dyDescent="0.3">
      <c r="A29" s="1">
        <v>45983</v>
      </c>
      <c r="B29" t="s">
        <v>64</v>
      </c>
      <c r="C29" t="s">
        <v>65</v>
      </c>
      <c r="D29" t="s">
        <v>8</v>
      </c>
      <c r="E29" t="str">
        <f t="shared" si="0"/>
        <v>Lebanon</v>
      </c>
    </row>
    <row r="30" spans="1:5" x14ac:dyDescent="0.3">
      <c r="A30" s="1">
        <v>45985</v>
      </c>
      <c r="B30" t="s">
        <v>9</v>
      </c>
      <c r="C30" t="s">
        <v>10</v>
      </c>
      <c r="D30" t="s">
        <v>66</v>
      </c>
      <c r="E30" t="str">
        <f t="shared" si="0"/>
        <v>Japan</v>
      </c>
    </row>
    <row r="31" spans="1:5" x14ac:dyDescent="0.3">
      <c r="A31" s="1">
        <v>45986</v>
      </c>
      <c r="B31" t="s">
        <v>67</v>
      </c>
      <c r="C31" t="s">
        <v>68</v>
      </c>
      <c r="D31" t="s">
        <v>69</v>
      </c>
      <c r="E31" t="str">
        <f t="shared" si="0"/>
        <v>Bosnia-Herzegovina</v>
      </c>
    </row>
    <row r="32" spans="1:5" x14ac:dyDescent="0.3">
      <c r="A32" s="1">
        <v>45987</v>
      </c>
      <c r="B32" t="s">
        <v>61</v>
      </c>
      <c r="C32" t="s">
        <v>62</v>
      </c>
      <c r="D32" t="s">
        <v>8</v>
      </c>
      <c r="E32" t="str">
        <f t="shared" si="0"/>
        <v>Mongolia</v>
      </c>
    </row>
    <row r="33" spans="1:5" x14ac:dyDescent="0.3">
      <c r="A33" s="1">
        <v>45988</v>
      </c>
      <c r="B33" t="s">
        <v>70</v>
      </c>
      <c r="C33" t="s">
        <v>71</v>
      </c>
      <c r="D33" t="s">
        <v>72</v>
      </c>
      <c r="E33" t="str">
        <f t="shared" si="0"/>
        <v>United States</v>
      </c>
    </row>
    <row r="34" spans="1:5" x14ac:dyDescent="0.3">
      <c r="A34" s="1">
        <v>45989</v>
      </c>
      <c r="B34" t="s">
        <v>70</v>
      </c>
      <c r="C34" t="s">
        <v>71</v>
      </c>
      <c r="D34" t="s">
        <v>73</v>
      </c>
      <c r="E34" t="str">
        <f t="shared" si="0"/>
        <v>United States</v>
      </c>
    </row>
    <row r="35" spans="1:5" x14ac:dyDescent="0.3">
      <c r="A35" s="1">
        <v>45992</v>
      </c>
      <c r="B35" t="s">
        <v>74</v>
      </c>
      <c r="C35" t="s">
        <v>75</v>
      </c>
      <c r="D35" t="s">
        <v>69</v>
      </c>
      <c r="E35" t="str">
        <f t="shared" si="0"/>
        <v>Costa Rica</v>
      </c>
    </row>
    <row r="36" spans="1:5" x14ac:dyDescent="0.3">
      <c r="A36" s="1">
        <v>45992</v>
      </c>
      <c r="B36" t="s">
        <v>76</v>
      </c>
      <c r="C36" t="s">
        <v>77</v>
      </c>
      <c r="D36" t="s">
        <v>78</v>
      </c>
      <c r="E36" t="str">
        <f t="shared" si="0"/>
        <v>Portugal</v>
      </c>
    </row>
    <row r="37" spans="1:5" x14ac:dyDescent="0.3">
      <c r="A37" s="1">
        <v>45992</v>
      </c>
      <c r="B37" t="s">
        <v>79</v>
      </c>
      <c r="C37" t="s">
        <v>80</v>
      </c>
      <c r="D37" t="s">
        <v>69</v>
      </c>
      <c r="E37" t="str">
        <f t="shared" si="0"/>
        <v>Romania</v>
      </c>
    </row>
    <row r="38" spans="1:5" x14ac:dyDescent="0.3">
      <c r="A38" s="1">
        <v>45992</v>
      </c>
      <c r="B38" t="s">
        <v>81</v>
      </c>
      <c r="C38" t="s">
        <v>82</v>
      </c>
      <c r="D38" t="s">
        <v>69</v>
      </c>
      <c r="E38" t="str">
        <f t="shared" si="0"/>
        <v>United Arab Emirates</v>
      </c>
    </row>
    <row r="39" spans="1:5" x14ac:dyDescent="0.3">
      <c r="A39" s="1">
        <v>45992</v>
      </c>
      <c r="B39" t="s">
        <v>81</v>
      </c>
      <c r="C39" t="s">
        <v>83</v>
      </c>
      <c r="D39" t="s">
        <v>69</v>
      </c>
      <c r="E39" t="str">
        <f t="shared" si="0"/>
        <v>United Arab Emirates</v>
      </c>
    </row>
    <row r="40" spans="1:5" x14ac:dyDescent="0.3">
      <c r="A40" s="1">
        <v>45993</v>
      </c>
      <c r="B40" t="s">
        <v>81</v>
      </c>
      <c r="C40" t="s">
        <v>82</v>
      </c>
      <c r="D40" t="s">
        <v>69</v>
      </c>
      <c r="E40" t="str">
        <f t="shared" si="0"/>
        <v>United Arab Emirates</v>
      </c>
    </row>
    <row r="41" spans="1:5" x14ac:dyDescent="0.3">
      <c r="A41" s="1">
        <v>45993</v>
      </c>
      <c r="B41" t="s">
        <v>81</v>
      </c>
      <c r="C41" t="s">
        <v>83</v>
      </c>
      <c r="D41" t="s">
        <v>69</v>
      </c>
      <c r="E41" t="str">
        <f t="shared" si="0"/>
        <v>United Arab Emirates</v>
      </c>
    </row>
    <row r="42" spans="1:5" x14ac:dyDescent="0.3">
      <c r="A42" s="1">
        <v>45995</v>
      </c>
      <c r="B42" t="s">
        <v>18</v>
      </c>
      <c r="C42" t="s">
        <v>19</v>
      </c>
      <c r="D42" t="s">
        <v>84</v>
      </c>
      <c r="E42" t="str">
        <f t="shared" si="0"/>
        <v>Sri Lanka</v>
      </c>
    </row>
    <row r="43" spans="1:5" x14ac:dyDescent="0.3">
      <c r="A43" s="1">
        <v>45996</v>
      </c>
      <c r="B43" t="s">
        <v>85</v>
      </c>
      <c r="C43" t="s">
        <v>86</v>
      </c>
      <c r="D43" t="s">
        <v>87</v>
      </c>
      <c r="E43" t="str">
        <f t="shared" si="0"/>
        <v>Thailand</v>
      </c>
    </row>
    <row r="44" spans="1:5" x14ac:dyDescent="0.3">
      <c r="A44" s="1">
        <v>45999</v>
      </c>
      <c r="B44" t="s">
        <v>37</v>
      </c>
      <c r="C44" t="s">
        <v>38</v>
      </c>
      <c r="D44" t="s">
        <v>88</v>
      </c>
      <c r="E44" t="str">
        <f t="shared" si="0"/>
        <v>Argentina</v>
      </c>
    </row>
    <row r="45" spans="1:5" x14ac:dyDescent="0.3">
      <c r="A45" s="1">
        <v>45999</v>
      </c>
      <c r="B45" t="s">
        <v>89</v>
      </c>
      <c r="C45" t="s">
        <v>90</v>
      </c>
      <c r="D45" t="s">
        <v>88</v>
      </c>
      <c r="E45" t="str">
        <f t="shared" si="0"/>
        <v>Chile</v>
      </c>
    </row>
    <row r="46" spans="1:5" x14ac:dyDescent="0.3">
      <c r="A46" s="1">
        <v>45999</v>
      </c>
      <c r="B46" t="s">
        <v>3</v>
      </c>
      <c r="C46" t="s">
        <v>4</v>
      </c>
      <c r="D46" t="s">
        <v>88</v>
      </c>
      <c r="E46" t="str">
        <f t="shared" si="0"/>
        <v>Colombia</v>
      </c>
    </row>
    <row r="47" spans="1:5" x14ac:dyDescent="0.3">
      <c r="A47" s="1">
        <v>45999</v>
      </c>
      <c r="B47" t="s">
        <v>91</v>
      </c>
      <c r="C47" t="s">
        <v>92</v>
      </c>
      <c r="D47" t="s">
        <v>88</v>
      </c>
      <c r="E47" t="str">
        <f t="shared" si="0"/>
        <v>Malta</v>
      </c>
    </row>
    <row r="48" spans="1:5" x14ac:dyDescent="0.3">
      <c r="A48" s="1">
        <v>45999</v>
      </c>
      <c r="B48" t="s">
        <v>93</v>
      </c>
      <c r="C48" t="s">
        <v>94</v>
      </c>
      <c r="D48" t="s">
        <v>88</v>
      </c>
      <c r="E48" t="str">
        <f t="shared" si="0"/>
        <v>Peru</v>
      </c>
    </row>
    <row r="49" spans="1:5" x14ac:dyDescent="0.3">
      <c r="A49" s="1">
        <v>45999</v>
      </c>
      <c r="B49" t="s">
        <v>95</v>
      </c>
      <c r="C49" t="s">
        <v>96</v>
      </c>
      <c r="D49" t="s">
        <v>88</v>
      </c>
      <c r="E49" t="str">
        <f t="shared" si="0"/>
        <v>Philippines</v>
      </c>
    </row>
    <row r="50" spans="1:5" x14ac:dyDescent="0.3">
      <c r="A50" s="1">
        <v>46000</v>
      </c>
      <c r="B50" t="s">
        <v>97</v>
      </c>
      <c r="C50" t="s">
        <v>98</v>
      </c>
      <c r="D50" t="s">
        <v>8</v>
      </c>
      <c r="E50" t="str">
        <f t="shared" si="0"/>
        <v>Tanzania</v>
      </c>
    </row>
    <row r="51" spans="1:5" x14ac:dyDescent="0.3">
      <c r="A51" s="1">
        <v>46001</v>
      </c>
      <c r="B51" t="s">
        <v>85</v>
      </c>
      <c r="C51" t="s">
        <v>86</v>
      </c>
      <c r="D51" t="s">
        <v>99</v>
      </c>
      <c r="E51" t="str">
        <f t="shared" si="0"/>
        <v>Thailand</v>
      </c>
    </row>
    <row r="52" spans="1:5" x14ac:dyDescent="0.3">
      <c r="A52" s="1">
        <v>46003</v>
      </c>
      <c r="B52" t="s">
        <v>100</v>
      </c>
      <c r="C52" t="s">
        <v>101</v>
      </c>
      <c r="D52" t="s">
        <v>8</v>
      </c>
      <c r="E52" t="str">
        <f t="shared" si="0"/>
        <v>Kenya</v>
      </c>
    </row>
    <row r="53" spans="1:5" x14ac:dyDescent="0.3">
      <c r="A53" s="1">
        <v>46003</v>
      </c>
      <c r="B53" t="s">
        <v>43</v>
      </c>
      <c r="C53" t="s">
        <v>44</v>
      </c>
      <c r="D53" t="s">
        <v>102</v>
      </c>
      <c r="E53" t="str">
        <f t="shared" si="0"/>
        <v>Mexico</v>
      </c>
    </row>
    <row r="54" spans="1:5" x14ac:dyDescent="0.3">
      <c r="A54" s="1">
        <v>46007</v>
      </c>
      <c r="B54" t="s">
        <v>103</v>
      </c>
      <c r="C54" t="s">
        <v>104</v>
      </c>
      <c r="D54" t="s">
        <v>69</v>
      </c>
      <c r="E54" t="str">
        <f t="shared" si="0"/>
        <v>Bahrain</v>
      </c>
    </row>
    <row r="55" spans="1:5" x14ac:dyDescent="0.3">
      <c r="A55" s="1">
        <v>46007</v>
      </c>
      <c r="B55" t="s">
        <v>105</v>
      </c>
      <c r="C55" t="s">
        <v>106</v>
      </c>
      <c r="D55" t="s">
        <v>69</v>
      </c>
      <c r="E55" t="str">
        <f t="shared" si="0"/>
        <v>Bangladesh</v>
      </c>
    </row>
    <row r="56" spans="1:5" x14ac:dyDescent="0.3">
      <c r="A56" s="1">
        <v>46007</v>
      </c>
      <c r="B56" t="s">
        <v>107</v>
      </c>
      <c r="C56" t="s">
        <v>108</v>
      </c>
      <c r="D56" t="s">
        <v>8</v>
      </c>
      <c r="E56" t="str">
        <f t="shared" si="0"/>
        <v>Kazakhstan</v>
      </c>
    </row>
    <row r="57" spans="1:5" x14ac:dyDescent="0.3">
      <c r="A57" s="1">
        <v>46007</v>
      </c>
      <c r="B57" t="s">
        <v>109</v>
      </c>
      <c r="C57" t="s">
        <v>110</v>
      </c>
      <c r="D57" t="s">
        <v>111</v>
      </c>
      <c r="E57" t="str">
        <f t="shared" si="0"/>
        <v>Namibia</v>
      </c>
    </row>
    <row r="58" spans="1:5" x14ac:dyDescent="0.3">
      <c r="A58" s="1">
        <v>46007</v>
      </c>
      <c r="B58" t="s">
        <v>112</v>
      </c>
      <c r="C58" t="s">
        <v>113</v>
      </c>
      <c r="D58" t="s">
        <v>111</v>
      </c>
      <c r="E58" t="str">
        <f t="shared" si="0"/>
        <v>South Africa</v>
      </c>
    </row>
    <row r="59" spans="1:5" x14ac:dyDescent="0.3">
      <c r="A59" s="1">
        <v>46008</v>
      </c>
      <c r="B59" t="s">
        <v>103</v>
      </c>
      <c r="C59" t="s">
        <v>104</v>
      </c>
      <c r="D59" t="s">
        <v>69</v>
      </c>
      <c r="E59" t="str">
        <f t="shared" si="0"/>
        <v>Bahrain</v>
      </c>
    </row>
    <row r="60" spans="1:5" x14ac:dyDescent="0.3">
      <c r="A60" s="1">
        <v>46009</v>
      </c>
      <c r="B60" t="s">
        <v>114</v>
      </c>
      <c r="C60" t="s">
        <v>115</v>
      </c>
      <c r="D60" t="s">
        <v>69</v>
      </c>
      <c r="E60" t="str">
        <f t="shared" si="0"/>
        <v>Qatar</v>
      </c>
    </row>
    <row r="61" spans="1:5" x14ac:dyDescent="0.3">
      <c r="A61" s="1">
        <v>46013</v>
      </c>
      <c r="B61" t="s">
        <v>116</v>
      </c>
      <c r="C61" t="s">
        <v>117</v>
      </c>
      <c r="D61" t="s">
        <v>14</v>
      </c>
      <c r="E61" t="str">
        <f t="shared" si="0"/>
        <v>Zimbabwe</v>
      </c>
    </row>
    <row r="62" spans="1:5" x14ac:dyDescent="0.3">
      <c r="A62" s="1">
        <v>46015</v>
      </c>
      <c r="B62" t="s">
        <v>37</v>
      </c>
      <c r="C62" t="s">
        <v>38</v>
      </c>
      <c r="D62" t="s">
        <v>118</v>
      </c>
      <c r="E62" t="str">
        <f t="shared" si="0"/>
        <v>Argentina</v>
      </c>
    </row>
    <row r="63" spans="1:5" x14ac:dyDescent="0.3">
      <c r="A63" s="1">
        <v>46015</v>
      </c>
      <c r="B63" t="s">
        <v>119</v>
      </c>
      <c r="C63" t="s">
        <v>120</v>
      </c>
      <c r="D63" t="s">
        <v>121</v>
      </c>
      <c r="E63" t="str">
        <f t="shared" si="0"/>
        <v>Australia</v>
      </c>
    </row>
    <row r="64" spans="1:5" x14ac:dyDescent="0.3">
      <c r="A64" s="1">
        <v>46015</v>
      </c>
      <c r="B64" t="s">
        <v>122</v>
      </c>
      <c r="C64" t="s">
        <v>123</v>
      </c>
      <c r="D64" t="s">
        <v>118</v>
      </c>
      <c r="E64" t="str">
        <f t="shared" si="0"/>
        <v>Austria</v>
      </c>
    </row>
    <row r="65" spans="1:5" x14ac:dyDescent="0.3">
      <c r="A65" s="1">
        <v>46015</v>
      </c>
      <c r="B65" t="s">
        <v>124</v>
      </c>
      <c r="C65" t="s">
        <v>125</v>
      </c>
      <c r="D65" t="s">
        <v>126</v>
      </c>
      <c r="E65" t="str">
        <f t="shared" si="0"/>
        <v>Belgium</v>
      </c>
    </row>
    <row r="66" spans="1:5" x14ac:dyDescent="0.3">
      <c r="A66" s="1">
        <v>46015</v>
      </c>
      <c r="B66" t="s">
        <v>58</v>
      </c>
      <c r="C66" t="s">
        <v>59</v>
      </c>
      <c r="D66" t="s">
        <v>127</v>
      </c>
      <c r="E66" t="str">
        <f t="shared" si="0"/>
        <v>Brazil</v>
      </c>
    </row>
    <row r="67" spans="1:5" x14ac:dyDescent="0.3">
      <c r="A67" s="1">
        <v>46015</v>
      </c>
      <c r="B67" t="s">
        <v>128</v>
      </c>
      <c r="C67" t="s">
        <v>129</v>
      </c>
      <c r="D67" t="s">
        <v>118</v>
      </c>
      <c r="E67" t="str">
        <f t="shared" ref="E67:E130" si="1">TRIM(SUBSTITUTE(B67,CHAR(160),""))</f>
        <v>Bulgaria</v>
      </c>
    </row>
    <row r="68" spans="1:5" x14ac:dyDescent="0.3">
      <c r="A68" s="1">
        <v>46015</v>
      </c>
      <c r="B68" t="s">
        <v>50</v>
      </c>
      <c r="C68" t="s">
        <v>51</v>
      </c>
      <c r="D68" t="s">
        <v>118</v>
      </c>
      <c r="E68" t="str">
        <f t="shared" si="1"/>
        <v>Croatia</v>
      </c>
    </row>
    <row r="69" spans="1:5" x14ac:dyDescent="0.3">
      <c r="A69" s="1">
        <v>46015</v>
      </c>
      <c r="B69" t="s">
        <v>130</v>
      </c>
      <c r="C69" t="s">
        <v>131</v>
      </c>
      <c r="D69" t="s">
        <v>118</v>
      </c>
      <c r="E69" t="str">
        <f t="shared" si="1"/>
        <v>Cyprus</v>
      </c>
    </row>
    <row r="70" spans="1:5" x14ac:dyDescent="0.3">
      <c r="A70" s="1">
        <v>46015</v>
      </c>
      <c r="B70" t="s">
        <v>40</v>
      </c>
      <c r="C70" t="s">
        <v>41</v>
      </c>
      <c r="D70" t="s">
        <v>118</v>
      </c>
      <c r="E70" t="str">
        <f t="shared" si="1"/>
        <v>Czech Republic</v>
      </c>
    </row>
    <row r="71" spans="1:5" x14ac:dyDescent="0.3">
      <c r="A71" s="1">
        <v>46015</v>
      </c>
      <c r="B71" t="s">
        <v>132</v>
      </c>
      <c r="C71" t="s">
        <v>133</v>
      </c>
      <c r="D71" t="s">
        <v>118</v>
      </c>
      <c r="E71" t="str">
        <f t="shared" si="1"/>
        <v>Denmark</v>
      </c>
    </row>
    <row r="72" spans="1:5" x14ac:dyDescent="0.3">
      <c r="A72" s="1">
        <v>46015</v>
      </c>
      <c r="B72" t="s">
        <v>134</v>
      </c>
      <c r="C72" t="s">
        <v>135</v>
      </c>
      <c r="D72" t="s">
        <v>118</v>
      </c>
      <c r="E72" t="str">
        <f t="shared" si="1"/>
        <v>Estonia</v>
      </c>
    </row>
    <row r="73" spans="1:5" x14ac:dyDescent="0.3">
      <c r="A73" s="1">
        <v>46015</v>
      </c>
      <c r="B73" t="s">
        <v>136</v>
      </c>
      <c r="C73" t="s">
        <v>137</v>
      </c>
      <c r="D73" t="s">
        <v>118</v>
      </c>
      <c r="E73" t="str">
        <f t="shared" si="1"/>
        <v>Finland</v>
      </c>
    </row>
    <row r="74" spans="1:5" x14ac:dyDescent="0.3">
      <c r="A74" s="1">
        <v>46015</v>
      </c>
      <c r="B74" t="s">
        <v>138</v>
      </c>
      <c r="C74" t="s">
        <v>139</v>
      </c>
      <c r="D74" t="s">
        <v>140</v>
      </c>
      <c r="E74" t="str">
        <f t="shared" si="1"/>
        <v>France</v>
      </c>
    </row>
    <row r="75" spans="1:5" x14ac:dyDescent="0.3">
      <c r="A75" s="1">
        <v>46015</v>
      </c>
      <c r="B75" t="s">
        <v>141</v>
      </c>
      <c r="C75" t="s">
        <v>142</v>
      </c>
      <c r="D75" t="s">
        <v>118</v>
      </c>
      <c r="E75" t="str">
        <f t="shared" si="1"/>
        <v>Germany</v>
      </c>
    </row>
    <row r="76" spans="1:5" x14ac:dyDescent="0.3">
      <c r="A76" s="1">
        <v>46015</v>
      </c>
      <c r="B76" t="s">
        <v>143</v>
      </c>
      <c r="C76" t="s">
        <v>144</v>
      </c>
      <c r="D76" t="s">
        <v>118</v>
      </c>
      <c r="E76" t="str">
        <f t="shared" si="1"/>
        <v>Hungary</v>
      </c>
    </row>
    <row r="77" spans="1:5" x14ac:dyDescent="0.3">
      <c r="A77" s="1">
        <v>46015</v>
      </c>
      <c r="B77" t="s">
        <v>145</v>
      </c>
      <c r="C77" t="s">
        <v>146</v>
      </c>
      <c r="D77" t="s">
        <v>118</v>
      </c>
      <c r="E77" t="str">
        <f t="shared" si="1"/>
        <v>Iceland</v>
      </c>
    </row>
    <row r="78" spans="1:5" x14ac:dyDescent="0.3">
      <c r="A78" s="1">
        <v>46015</v>
      </c>
      <c r="B78" t="s">
        <v>147</v>
      </c>
      <c r="C78" t="s">
        <v>148</v>
      </c>
      <c r="D78" t="s">
        <v>149</v>
      </c>
      <c r="E78" t="str">
        <f t="shared" si="1"/>
        <v>Ireland</v>
      </c>
    </row>
    <row r="79" spans="1:5" x14ac:dyDescent="0.3">
      <c r="A79" s="1">
        <v>46015</v>
      </c>
      <c r="B79" t="s">
        <v>150</v>
      </c>
      <c r="C79" t="s">
        <v>151</v>
      </c>
      <c r="D79" t="s">
        <v>118</v>
      </c>
      <c r="E79" t="str">
        <f t="shared" si="1"/>
        <v>Italy</v>
      </c>
    </row>
    <row r="80" spans="1:5" x14ac:dyDescent="0.3">
      <c r="A80" s="1">
        <v>46015</v>
      </c>
      <c r="B80" t="s">
        <v>52</v>
      </c>
      <c r="C80" t="s">
        <v>53</v>
      </c>
      <c r="D80" t="s">
        <v>118</v>
      </c>
      <c r="E80" t="str">
        <f t="shared" si="1"/>
        <v>Latvia</v>
      </c>
    </row>
    <row r="81" spans="1:5" x14ac:dyDescent="0.3">
      <c r="A81" s="1">
        <v>46015</v>
      </c>
      <c r="B81" t="s">
        <v>152</v>
      </c>
      <c r="C81" t="s">
        <v>153</v>
      </c>
      <c r="D81" t="s">
        <v>118</v>
      </c>
      <c r="E81" t="str">
        <f t="shared" si="1"/>
        <v>Lithuania</v>
      </c>
    </row>
    <row r="82" spans="1:5" x14ac:dyDescent="0.3">
      <c r="A82" s="1">
        <v>46015</v>
      </c>
      <c r="B82" t="s">
        <v>154</v>
      </c>
      <c r="C82" t="s">
        <v>155</v>
      </c>
      <c r="D82" t="s">
        <v>126</v>
      </c>
      <c r="E82" t="str">
        <f t="shared" si="1"/>
        <v>Netherlands</v>
      </c>
    </row>
    <row r="83" spans="1:5" x14ac:dyDescent="0.3">
      <c r="A83" s="1">
        <v>46015</v>
      </c>
      <c r="B83" t="s">
        <v>156</v>
      </c>
      <c r="C83" t="s">
        <v>157</v>
      </c>
      <c r="D83" t="s">
        <v>158</v>
      </c>
      <c r="E83" t="str">
        <f t="shared" si="1"/>
        <v>New Zealand</v>
      </c>
    </row>
    <row r="84" spans="1:5" x14ac:dyDescent="0.3">
      <c r="A84" s="1">
        <v>46015</v>
      </c>
      <c r="B84" t="s">
        <v>93</v>
      </c>
      <c r="C84" t="s">
        <v>94</v>
      </c>
      <c r="D84" t="s">
        <v>159</v>
      </c>
      <c r="E84" t="str">
        <f t="shared" si="1"/>
        <v>Peru</v>
      </c>
    </row>
    <row r="85" spans="1:5" x14ac:dyDescent="0.3">
      <c r="A85" s="1">
        <v>46015</v>
      </c>
      <c r="B85" t="s">
        <v>33</v>
      </c>
      <c r="C85" t="s">
        <v>34</v>
      </c>
      <c r="D85" t="s">
        <v>118</v>
      </c>
      <c r="E85" t="str">
        <f t="shared" si="1"/>
        <v>Poland</v>
      </c>
    </row>
    <row r="86" spans="1:5" x14ac:dyDescent="0.3">
      <c r="A86" s="1">
        <v>46015</v>
      </c>
      <c r="B86" t="s">
        <v>76</v>
      </c>
      <c r="C86" t="s">
        <v>77</v>
      </c>
      <c r="D86" t="s">
        <v>140</v>
      </c>
      <c r="E86" t="str">
        <f t="shared" si="1"/>
        <v>Portugal</v>
      </c>
    </row>
    <row r="87" spans="1:5" x14ac:dyDescent="0.3">
      <c r="A87" s="1">
        <v>46015</v>
      </c>
      <c r="B87" t="s">
        <v>45</v>
      </c>
      <c r="C87" t="s">
        <v>46</v>
      </c>
      <c r="D87" t="s">
        <v>118</v>
      </c>
      <c r="E87" t="str">
        <f t="shared" si="1"/>
        <v>Slovakia</v>
      </c>
    </row>
    <row r="88" spans="1:5" x14ac:dyDescent="0.3">
      <c r="A88" s="1">
        <v>46015</v>
      </c>
      <c r="B88" t="s">
        <v>160</v>
      </c>
      <c r="C88" t="s">
        <v>161</v>
      </c>
      <c r="D88" t="s">
        <v>121</v>
      </c>
      <c r="E88" t="str">
        <f t="shared" si="1"/>
        <v>Spain</v>
      </c>
    </row>
    <row r="89" spans="1:5" x14ac:dyDescent="0.3">
      <c r="A89" s="1">
        <v>46015</v>
      </c>
      <c r="B89" t="s">
        <v>162</v>
      </c>
      <c r="C89" t="s">
        <v>163</v>
      </c>
      <c r="D89" t="s">
        <v>118</v>
      </c>
      <c r="E89" t="str">
        <f t="shared" si="1"/>
        <v>Sweden</v>
      </c>
    </row>
    <row r="90" spans="1:5" x14ac:dyDescent="0.3">
      <c r="A90" s="1">
        <v>46015</v>
      </c>
      <c r="B90" t="s">
        <v>164</v>
      </c>
      <c r="C90" t="s">
        <v>165</v>
      </c>
      <c r="D90" t="s">
        <v>118</v>
      </c>
      <c r="E90" t="str">
        <f t="shared" si="1"/>
        <v>Switzerland</v>
      </c>
    </row>
    <row r="91" spans="1:5" x14ac:dyDescent="0.3">
      <c r="A91" s="1">
        <v>46015</v>
      </c>
      <c r="B91" t="s">
        <v>166</v>
      </c>
      <c r="C91" t="s">
        <v>167</v>
      </c>
      <c r="D91" t="s">
        <v>168</v>
      </c>
      <c r="E91" t="str">
        <f t="shared" si="1"/>
        <v>United Kingdom</v>
      </c>
    </row>
    <row r="92" spans="1:5" x14ac:dyDescent="0.3">
      <c r="A92" s="1">
        <v>46015</v>
      </c>
      <c r="B92" t="s">
        <v>70</v>
      </c>
      <c r="C92" t="s">
        <v>71</v>
      </c>
      <c r="D92" t="s">
        <v>169</v>
      </c>
      <c r="E92" t="str">
        <f t="shared" si="1"/>
        <v>United States</v>
      </c>
    </row>
    <row r="93" spans="1:5" x14ac:dyDescent="0.3">
      <c r="A93" s="1">
        <v>46015</v>
      </c>
      <c r="B93" t="s">
        <v>170</v>
      </c>
      <c r="C93" t="s">
        <v>171</v>
      </c>
      <c r="D93" t="s">
        <v>118</v>
      </c>
      <c r="E93" t="str">
        <f t="shared" si="1"/>
        <v>Venezuela</v>
      </c>
    </row>
    <row r="94" spans="1:5" x14ac:dyDescent="0.3">
      <c r="A94" s="1">
        <v>46016</v>
      </c>
      <c r="B94" t="s">
        <v>37</v>
      </c>
      <c r="C94" t="s">
        <v>38</v>
      </c>
      <c r="D94" t="s">
        <v>118</v>
      </c>
      <c r="E94" t="str">
        <f t="shared" si="1"/>
        <v>Argentina</v>
      </c>
    </row>
    <row r="95" spans="1:5" x14ac:dyDescent="0.3">
      <c r="A95" s="1">
        <v>46016</v>
      </c>
      <c r="B95" t="s">
        <v>119</v>
      </c>
      <c r="C95" t="s">
        <v>120</v>
      </c>
      <c r="D95" t="s">
        <v>118</v>
      </c>
      <c r="E95" t="str">
        <f t="shared" si="1"/>
        <v>Australia</v>
      </c>
    </row>
    <row r="96" spans="1:5" x14ac:dyDescent="0.3">
      <c r="A96" s="1">
        <v>46016</v>
      </c>
      <c r="B96" t="s">
        <v>122</v>
      </c>
      <c r="C96" t="s">
        <v>123</v>
      </c>
      <c r="D96" t="s">
        <v>118</v>
      </c>
      <c r="E96" t="str">
        <f t="shared" si="1"/>
        <v>Austria</v>
      </c>
    </row>
    <row r="97" spans="1:5" x14ac:dyDescent="0.3">
      <c r="A97" s="1">
        <v>46016</v>
      </c>
      <c r="B97" t="s">
        <v>105</v>
      </c>
      <c r="C97" t="s">
        <v>106</v>
      </c>
      <c r="D97" t="s">
        <v>118</v>
      </c>
      <c r="E97" t="str">
        <f t="shared" si="1"/>
        <v>Bangladesh</v>
      </c>
    </row>
    <row r="98" spans="1:5" x14ac:dyDescent="0.3">
      <c r="A98" s="1">
        <v>46016</v>
      </c>
      <c r="B98" t="s">
        <v>124</v>
      </c>
      <c r="C98" t="s">
        <v>125</v>
      </c>
      <c r="D98" t="s">
        <v>118</v>
      </c>
      <c r="E98" t="str">
        <f t="shared" si="1"/>
        <v>Belgium</v>
      </c>
    </row>
    <row r="99" spans="1:5" x14ac:dyDescent="0.3">
      <c r="A99" s="1">
        <v>46016</v>
      </c>
      <c r="B99" t="s">
        <v>27</v>
      </c>
      <c r="C99" t="s">
        <v>28</v>
      </c>
      <c r="D99" t="s">
        <v>118</v>
      </c>
      <c r="E99" t="str">
        <f t="shared" si="1"/>
        <v>Bermuda</v>
      </c>
    </row>
    <row r="100" spans="1:5" x14ac:dyDescent="0.3">
      <c r="A100" s="1">
        <v>46016</v>
      </c>
      <c r="B100" t="s">
        <v>172</v>
      </c>
      <c r="C100" t="s">
        <v>173</v>
      </c>
      <c r="D100" t="s">
        <v>118</v>
      </c>
      <c r="E100" t="str">
        <f t="shared" si="1"/>
        <v>Botswana</v>
      </c>
    </row>
    <row r="101" spans="1:5" x14ac:dyDescent="0.3">
      <c r="A101" s="1">
        <v>46016</v>
      </c>
      <c r="B101" t="s">
        <v>58</v>
      </c>
      <c r="C101" t="s">
        <v>59</v>
      </c>
      <c r="D101" t="s">
        <v>118</v>
      </c>
      <c r="E101" t="str">
        <f t="shared" si="1"/>
        <v>Brazil</v>
      </c>
    </row>
    <row r="102" spans="1:5" x14ac:dyDescent="0.3">
      <c r="A102" s="1">
        <v>46016</v>
      </c>
      <c r="B102" t="s">
        <v>128</v>
      </c>
      <c r="C102" t="s">
        <v>129</v>
      </c>
      <c r="D102" t="s">
        <v>118</v>
      </c>
      <c r="E102" t="str">
        <f t="shared" si="1"/>
        <v>Bulgaria</v>
      </c>
    </row>
    <row r="103" spans="1:5" x14ac:dyDescent="0.3">
      <c r="A103" s="1">
        <v>46016</v>
      </c>
      <c r="B103" t="s">
        <v>29</v>
      </c>
      <c r="C103" t="s">
        <v>30</v>
      </c>
      <c r="D103" t="s">
        <v>118</v>
      </c>
      <c r="E103" t="str">
        <f t="shared" si="1"/>
        <v>Canada</v>
      </c>
    </row>
    <row r="104" spans="1:5" x14ac:dyDescent="0.3">
      <c r="A104" s="1">
        <v>46016</v>
      </c>
      <c r="B104" t="s">
        <v>29</v>
      </c>
      <c r="C104" t="s">
        <v>31</v>
      </c>
      <c r="D104" t="s">
        <v>118</v>
      </c>
      <c r="E104" t="str">
        <f t="shared" si="1"/>
        <v>Canada</v>
      </c>
    </row>
    <row r="105" spans="1:5" x14ac:dyDescent="0.3">
      <c r="A105" s="1">
        <v>46016</v>
      </c>
      <c r="B105" t="s">
        <v>29</v>
      </c>
      <c r="C105" t="s">
        <v>174</v>
      </c>
      <c r="D105" t="s">
        <v>118</v>
      </c>
      <c r="E105" t="str">
        <f t="shared" si="1"/>
        <v>Canada</v>
      </c>
    </row>
    <row r="106" spans="1:5" x14ac:dyDescent="0.3">
      <c r="A106" s="1">
        <v>46016</v>
      </c>
      <c r="B106" t="s">
        <v>24</v>
      </c>
      <c r="C106" t="s">
        <v>25</v>
      </c>
      <c r="D106" t="s">
        <v>118</v>
      </c>
      <c r="E106" t="str">
        <f t="shared" si="1"/>
        <v>Cayman Islands</v>
      </c>
    </row>
    <row r="107" spans="1:5" x14ac:dyDescent="0.3">
      <c r="A107" s="1">
        <v>46016</v>
      </c>
      <c r="B107" t="s">
        <v>89</v>
      </c>
      <c r="C107" t="s">
        <v>90</v>
      </c>
      <c r="D107" t="s">
        <v>118</v>
      </c>
      <c r="E107" t="str">
        <f t="shared" si="1"/>
        <v>Chile</v>
      </c>
    </row>
    <row r="108" spans="1:5" x14ac:dyDescent="0.3">
      <c r="A108" s="1">
        <v>46016</v>
      </c>
      <c r="B108" t="s">
        <v>3</v>
      </c>
      <c r="C108" t="s">
        <v>4</v>
      </c>
      <c r="D108" t="s">
        <v>118</v>
      </c>
      <c r="E108" t="str">
        <f t="shared" si="1"/>
        <v>Colombia</v>
      </c>
    </row>
    <row r="109" spans="1:5" x14ac:dyDescent="0.3">
      <c r="A109" s="1">
        <v>46016</v>
      </c>
      <c r="B109" t="s">
        <v>74</v>
      </c>
      <c r="C109" t="s">
        <v>75</v>
      </c>
      <c r="D109" t="s">
        <v>118</v>
      </c>
      <c r="E109" t="str">
        <f t="shared" si="1"/>
        <v>Costa Rica</v>
      </c>
    </row>
    <row r="110" spans="1:5" x14ac:dyDescent="0.3">
      <c r="A110" s="1">
        <v>46016</v>
      </c>
      <c r="B110" t="s">
        <v>50</v>
      </c>
      <c r="C110" t="s">
        <v>51</v>
      </c>
      <c r="D110" t="s">
        <v>118</v>
      </c>
      <c r="E110" t="str">
        <f t="shared" si="1"/>
        <v>Croatia</v>
      </c>
    </row>
    <row r="111" spans="1:5" x14ac:dyDescent="0.3">
      <c r="A111" s="1">
        <v>46016</v>
      </c>
      <c r="B111" t="s">
        <v>130</v>
      </c>
      <c r="C111" t="s">
        <v>131</v>
      </c>
      <c r="D111" t="s">
        <v>118</v>
      </c>
      <c r="E111" t="str">
        <f t="shared" si="1"/>
        <v>Cyprus</v>
      </c>
    </row>
    <row r="112" spans="1:5" x14ac:dyDescent="0.3">
      <c r="A112" s="1">
        <v>46016</v>
      </c>
      <c r="B112" t="s">
        <v>40</v>
      </c>
      <c r="C112" t="s">
        <v>41</v>
      </c>
      <c r="D112" t="s">
        <v>118</v>
      </c>
      <c r="E112" t="str">
        <f t="shared" si="1"/>
        <v>Czech Republic</v>
      </c>
    </row>
    <row r="113" spans="1:5" x14ac:dyDescent="0.3">
      <c r="A113" s="1">
        <v>46016</v>
      </c>
      <c r="B113" t="s">
        <v>132</v>
      </c>
      <c r="C113" t="s">
        <v>133</v>
      </c>
      <c r="D113" t="s">
        <v>118</v>
      </c>
      <c r="E113" t="str">
        <f t="shared" si="1"/>
        <v>Denmark</v>
      </c>
    </row>
    <row r="114" spans="1:5" x14ac:dyDescent="0.3">
      <c r="A114" s="1">
        <v>46016</v>
      </c>
      <c r="B114" t="s">
        <v>6</v>
      </c>
      <c r="C114" t="s">
        <v>7</v>
      </c>
      <c r="D114" t="s">
        <v>118</v>
      </c>
      <c r="E114" t="str">
        <f t="shared" si="1"/>
        <v>Ecuador</v>
      </c>
    </row>
    <row r="115" spans="1:5" x14ac:dyDescent="0.3">
      <c r="A115" s="1">
        <v>46016</v>
      </c>
      <c r="B115" t="s">
        <v>134</v>
      </c>
      <c r="C115" t="s">
        <v>135</v>
      </c>
      <c r="D115" t="s">
        <v>118</v>
      </c>
      <c r="E115" t="str">
        <f t="shared" si="1"/>
        <v>Estonia</v>
      </c>
    </row>
    <row r="116" spans="1:5" x14ac:dyDescent="0.3">
      <c r="A116" s="1">
        <v>46016</v>
      </c>
      <c r="B116" t="s">
        <v>136</v>
      </c>
      <c r="C116" t="s">
        <v>137</v>
      </c>
      <c r="D116" t="s">
        <v>118</v>
      </c>
      <c r="E116" t="str">
        <f t="shared" si="1"/>
        <v>Finland</v>
      </c>
    </row>
    <row r="117" spans="1:5" x14ac:dyDescent="0.3">
      <c r="A117" s="1">
        <v>46016</v>
      </c>
      <c r="B117" t="s">
        <v>138</v>
      </c>
      <c r="C117" t="s">
        <v>139</v>
      </c>
      <c r="D117" t="s">
        <v>118</v>
      </c>
      <c r="E117" t="str">
        <f t="shared" si="1"/>
        <v>France</v>
      </c>
    </row>
    <row r="118" spans="1:5" x14ac:dyDescent="0.3">
      <c r="A118" s="1">
        <v>46016</v>
      </c>
      <c r="B118" t="s">
        <v>141</v>
      </c>
      <c r="C118" t="s">
        <v>142</v>
      </c>
      <c r="D118" t="s">
        <v>118</v>
      </c>
      <c r="E118" t="str">
        <f t="shared" si="1"/>
        <v>Germany</v>
      </c>
    </row>
    <row r="119" spans="1:5" x14ac:dyDescent="0.3">
      <c r="A119" s="1">
        <v>46016</v>
      </c>
      <c r="B119" t="s">
        <v>175</v>
      </c>
      <c r="C119" t="s">
        <v>176</v>
      </c>
      <c r="D119" t="s">
        <v>118</v>
      </c>
      <c r="E119" t="str">
        <f t="shared" si="1"/>
        <v>Greece</v>
      </c>
    </row>
    <row r="120" spans="1:5" x14ac:dyDescent="0.3">
      <c r="A120" s="1">
        <v>46016</v>
      </c>
      <c r="B120" t="s">
        <v>177</v>
      </c>
      <c r="C120" t="s">
        <v>178</v>
      </c>
      <c r="D120" t="s">
        <v>118</v>
      </c>
      <c r="E120" t="str">
        <f t="shared" si="1"/>
        <v>Hong Kong</v>
      </c>
    </row>
    <row r="121" spans="1:5" x14ac:dyDescent="0.3">
      <c r="A121" s="1">
        <v>46016</v>
      </c>
      <c r="B121" t="s">
        <v>143</v>
      </c>
      <c r="C121" t="s">
        <v>144</v>
      </c>
      <c r="D121" t="s">
        <v>118</v>
      </c>
      <c r="E121" t="str">
        <f t="shared" si="1"/>
        <v>Hungary</v>
      </c>
    </row>
    <row r="122" spans="1:5" x14ac:dyDescent="0.3">
      <c r="A122" s="1">
        <v>46016</v>
      </c>
      <c r="B122" t="s">
        <v>145</v>
      </c>
      <c r="C122" t="s">
        <v>146</v>
      </c>
      <c r="D122" t="s">
        <v>118</v>
      </c>
      <c r="E122" t="str">
        <f t="shared" si="1"/>
        <v>Iceland</v>
      </c>
    </row>
    <row r="123" spans="1:5" x14ac:dyDescent="0.3">
      <c r="A123" s="1">
        <v>46016</v>
      </c>
      <c r="B123" t="s">
        <v>15</v>
      </c>
      <c r="C123" t="s">
        <v>16</v>
      </c>
      <c r="D123" t="s">
        <v>118</v>
      </c>
      <c r="E123" t="str">
        <f t="shared" si="1"/>
        <v>India</v>
      </c>
    </row>
    <row r="124" spans="1:5" x14ac:dyDescent="0.3">
      <c r="A124" s="1">
        <v>46016</v>
      </c>
      <c r="B124" t="s">
        <v>179</v>
      </c>
      <c r="C124" t="s">
        <v>180</v>
      </c>
      <c r="D124" t="s">
        <v>118</v>
      </c>
      <c r="E124" t="str">
        <f t="shared" si="1"/>
        <v>Indonesia</v>
      </c>
    </row>
    <row r="125" spans="1:5" x14ac:dyDescent="0.3">
      <c r="A125" s="1">
        <v>46016</v>
      </c>
      <c r="B125" t="s">
        <v>147</v>
      </c>
      <c r="C125" t="s">
        <v>148</v>
      </c>
      <c r="D125" t="s">
        <v>118</v>
      </c>
      <c r="E125" t="str">
        <f t="shared" si="1"/>
        <v>Ireland</v>
      </c>
    </row>
    <row r="126" spans="1:5" x14ac:dyDescent="0.3">
      <c r="A126" s="1">
        <v>46016</v>
      </c>
      <c r="B126" t="s">
        <v>150</v>
      </c>
      <c r="C126" t="s">
        <v>151</v>
      </c>
      <c r="D126" t="s">
        <v>118</v>
      </c>
      <c r="E126" t="str">
        <f t="shared" si="1"/>
        <v>Italy</v>
      </c>
    </row>
    <row r="127" spans="1:5" x14ac:dyDescent="0.3">
      <c r="A127" s="1">
        <v>46016</v>
      </c>
      <c r="B127" t="s">
        <v>181</v>
      </c>
      <c r="C127" t="s">
        <v>182</v>
      </c>
      <c r="D127" t="s">
        <v>118</v>
      </c>
      <c r="E127" t="str">
        <f t="shared" si="1"/>
        <v>Jamaica</v>
      </c>
    </row>
    <row r="128" spans="1:5" x14ac:dyDescent="0.3">
      <c r="A128" s="1">
        <v>46016</v>
      </c>
      <c r="B128" t="s">
        <v>183</v>
      </c>
      <c r="C128" t="s">
        <v>184</v>
      </c>
      <c r="D128" t="s">
        <v>118</v>
      </c>
      <c r="E128" t="str">
        <f t="shared" si="1"/>
        <v>Jordan</v>
      </c>
    </row>
    <row r="129" spans="1:5" x14ac:dyDescent="0.3">
      <c r="A129" s="1">
        <v>46016</v>
      </c>
      <c r="B129" t="s">
        <v>100</v>
      </c>
      <c r="C129" t="s">
        <v>101</v>
      </c>
      <c r="D129" t="s">
        <v>118</v>
      </c>
      <c r="E129" t="str">
        <f t="shared" si="1"/>
        <v>Kenya</v>
      </c>
    </row>
    <row r="130" spans="1:5" x14ac:dyDescent="0.3">
      <c r="A130" s="1">
        <v>46016</v>
      </c>
      <c r="B130" t="s">
        <v>52</v>
      </c>
      <c r="C130" t="s">
        <v>53</v>
      </c>
      <c r="D130" t="s">
        <v>118</v>
      </c>
      <c r="E130" t="str">
        <f t="shared" si="1"/>
        <v>Latvia</v>
      </c>
    </row>
    <row r="131" spans="1:5" x14ac:dyDescent="0.3">
      <c r="A131" s="1">
        <v>46016</v>
      </c>
      <c r="B131" t="s">
        <v>64</v>
      </c>
      <c r="C131" t="s">
        <v>65</v>
      </c>
      <c r="D131" t="s">
        <v>118</v>
      </c>
      <c r="E131" t="str">
        <f t="shared" ref="E131:E194" si="2">TRIM(SUBSTITUTE(B131,CHAR(160),""))</f>
        <v>Lebanon</v>
      </c>
    </row>
    <row r="132" spans="1:5" x14ac:dyDescent="0.3">
      <c r="A132" s="1">
        <v>46016</v>
      </c>
      <c r="B132" t="s">
        <v>152</v>
      </c>
      <c r="C132" t="s">
        <v>153</v>
      </c>
      <c r="D132" t="s">
        <v>118</v>
      </c>
      <c r="E132" t="str">
        <f t="shared" si="2"/>
        <v>Lithuania</v>
      </c>
    </row>
    <row r="133" spans="1:5" x14ac:dyDescent="0.3">
      <c r="A133" s="1">
        <v>46016</v>
      </c>
      <c r="B133" t="s">
        <v>185</v>
      </c>
      <c r="C133" t="s">
        <v>186</v>
      </c>
      <c r="D133" t="s">
        <v>118</v>
      </c>
      <c r="E133" t="str">
        <f t="shared" si="2"/>
        <v>Luxembourg</v>
      </c>
    </row>
    <row r="134" spans="1:5" x14ac:dyDescent="0.3">
      <c r="A134" s="1">
        <v>46016</v>
      </c>
      <c r="B134" t="s">
        <v>187</v>
      </c>
      <c r="C134" t="s">
        <v>188</v>
      </c>
      <c r="D134" t="s">
        <v>118</v>
      </c>
      <c r="E134" t="str">
        <f t="shared" si="2"/>
        <v>Malaysia</v>
      </c>
    </row>
    <row r="135" spans="1:5" x14ac:dyDescent="0.3">
      <c r="A135" s="1">
        <v>46016</v>
      </c>
      <c r="B135" t="s">
        <v>91</v>
      </c>
      <c r="C135" t="s">
        <v>92</v>
      </c>
      <c r="D135" t="s">
        <v>118</v>
      </c>
      <c r="E135" t="str">
        <f t="shared" si="2"/>
        <v>Malta</v>
      </c>
    </row>
    <row r="136" spans="1:5" x14ac:dyDescent="0.3">
      <c r="A136" s="1">
        <v>46016</v>
      </c>
      <c r="B136" t="s">
        <v>189</v>
      </c>
      <c r="C136" t="s">
        <v>190</v>
      </c>
      <c r="D136" t="s">
        <v>118</v>
      </c>
      <c r="E136" t="str">
        <f t="shared" si="2"/>
        <v>Mauritius</v>
      </c>
    </row>
    <row r="137" spans="1:5" x14ac:dyDescent="0.3">
      <c r="A137" s="1">
        <v>46016</v>
      </c>
      <c r="B137" t="s">
        <v>43</v>
      </c>
      <c r="C137" t="s">
        <v>44</v>
      </c>
      <c r="D137" t="s">
        <v>118</v>
      </c>
      <c r="E137" t="str">
        <f t="shared" si="2"/>
        <v>Mexico</v>
      </c>
    </row>
    <row r="138" spans="1:5" x14ac:dyDescent="0.3">
      <c r="A138" s="1">
        <v>46016</v>
      </c>
      <c r="B138" t="s">
        <v>109</v>
      </c>
      <c r="C138" t="s">
        <v>110</v>
      </c>
      <c r="D138" t="s">
        <v>118</v>
      </c>
      <c r="E138" t="str">
        <f t="shared" si="2"/>
        <v>Namibia</v>
      </c>
    </row>
    <row r="139" spans="1:5" x14ac:dyDescent="0.3">
      <c r="A139" s="1">
        <v>46016</v>
      </c>
      <c r="B139" t="s">
        <v>154</v>
      </c>
      <c r="C139" t="s">
        <v>155</v>
      </c>
      <c r="D139" t="s">
        <v>118</v>
      </c>
      <c r="E139" t="str">
        <f t="shared" si="2"/>
        <v>Netherlands</v>
      </c>
    </row>
    <row r="140" spans="1:5" x14ac:dyDescent="0.3">
      <c r="A140" s="1">
        <v>46016</v>
      </c>
      <c r="B140" t="s">
        <v>156</v>
      </c>
      <c r="C140" t="s">
        <v>157</v>
      </c>
      <c r="D140" t="s">
        <v>118</v>
      </c>
      <c r="E140" t="str">
        <f t="shared" si="2"/>
        <v>New Zealand</v>
      </c>
    </row>
    <row r="141" spans="1:5" x14ac:dyDescent="0.3">
      <c r="A141" s="1">
        <v>46016</v>
      </c>
      <c r="B141" t="s">
        <v>191</v>
      </c>
      <c r="C141" t="s">
        <v>192</v>
      </c>
      <c r="D141" t="s">
        <v>118</v>
      </c>
      <c r="E141" t="str">
        <f t="shared" si="2"/>
        <v>Nigeria</v>
      </c>
    </row>
    <row r="142" spans="1:5" x14ac:dyDescent="0.3">
      <c r="A142" s="1">
        <v>46016</v>
      </c>
      <c r="B142" t="s">
        <v>193</v>
      </c>
      <c r="C142" t="s">
        <v>194</v>
      </c>
      <c r="D142" t="s">
        <v>118</v>
      </c>
      <c r="E142" t="str">
        <f t="shared" si="2"/>
        <v>Norway</v>
      </c>
    </row>
    <row r="143" spans="1:5" x14ac:dyDescent="0.3">
      <c r="A143" s="1">
        <v>46016</v>
      </c>
      <c r="B143" t="s">
        <v>195</v>
      </c>
      <c r="C143" t="s">
        <v>196</v>
      </c>
      <c r="D143" t="s">
        <v>197</v>
      </c>
      <c r="E143" t="str">
        <f t="shared" si="2"/>
        <v>Pakistan</v>
      </c>
    </row>
    <row r="144" spans="1:5" x14ac:dyDescent="0.3">
      <c r="A144" s="1">
        <v>46016</v>
      </c>
      <c r="B144" t="s">
        <v>198</v>
      </c>
      <c r="C144" t="s">
        <v>199</v>
      </c>
      <c r="D144" t="s">
        <v>118</v>
      </c>
      <c r="E144" t="str">
        <f t="shared" si="2"/>
        <v>Palestinian Territory</v>
      </c>
    </row>
    <row r="145" spans="1:5" x14ac:dyDescent="0.3">
      <c r="A145" s="1">
        <v>46016</v>
      </c>
      <c r="B145" t="s">
        <v>93</v>
      </c>
      <c r="C145" t="s">
        <v>94</v>
      </c>
      <c r="D145" t="s">
        <v>118</v>
      </c>
      <c r="E145" t="str">
        <f t="shared" si="2"/>
        <v>Peru</v>
      </c>
    </row>
    <row r="146" spans="1:5" x14ac:dyDescent="0.3">
      <c r="A146" s="1">
        <v>46016</v>
      </c>
      <c r="B146" t="s">
        <v>95</v>
      </c>
      <c r="C146" t="s">
        <v>96</v>
      </c>
      <c r="D146" t="s">
        <v>118</v>
      </c>
      <c r="E146" t="str">
        <f t="shared" si="2"/>
        <v>Philippines</v>
      </c>
    </row>
    <row r="147" spans="1:5" x14ac:dyDescent="0.3">
      <c r="A147" s="1">
        <v>46016</v>
      </c>
      <c r="B147" t="s">
        <v>33</v>
      </c>
      <c r="C147" t="s">
        <v>34</v>
      </c>
      <c r="D147" t="s">
        <v>118</v>
      </c>
      <c r="E147" t="str">
        <f t="shared" si="2"/>
        <v>Poland</v>
      </c>
    </row>
    <row r="148" spans="1:5" x14ac:dyDescent="0.3">
      <c r="A148" s="1">
        <v>46016</v>
      </c>
      <c r="B148" t="s">
        <v>76</v>
      </c>
      <c r="C148" t="s">
        <v>77</v>
      </c>
      <c r="D148" t="s">
        <v>118</v>
      </c>
      <c r="E148" t="str">
        <f t="shared" si="2"/>
        <v>Portugal</v>
      </c>
    </row>
    <row r="149" spans="1:5" x14ac:dyDescent="0.3">
      <c r="A149" s="1">
        <v>46016</v>
      </c>
      <c r="B149" t="s">
        <v>79</v>
      </c>
      <c r="C149" t="s">
        <v>80</v>
      </c>
      <c r="D149" t="s">
        <v>118</v>
      </c>
      <c r="E149" t="str">
        <f t="shared" si="2"/>
        <v>Romania</v>
      </c>
    </row>
    <row r="150" spans="1:5" x14ac:dyDescent="0.3">
      <c r="A150" s="1">
        <v>46016</v>
      </c>
      <c r="B150" t="s">
        <v>200</v>
      </c>
      <c r="C150" t="s">
        <v>201</v>
      </c>
      <c r="D150" t="s">
        <v>118</v>
      </c>
      <c r="E150" t="str">
        <f t="shared" si="2"/>
        <v>Rwanda</v>
      </c>
    </row>
    <row r="151" spans="1:5" x14ac:dyDescent="0.3">
      <c r="A151" s="1">
        <v>46016</v>
      </c>
      <c r="B151" t="s">
        <v>202</v>
      </c>
      <c r="C151" t="s">
        <v>203</v>
      </c>
      <c r="D151" t="s">
        <v>118</v>
      </c>
      <c r="E151" t="str">
        <f t="shared" si="2"/>
        <v>Singapore</v>
      </c>
    </row>
    <row r="152" spans="1:5" x14ac:dyDescent="0.3">
      <c r="A152" s="1">
        <v>46016</v>
      </c>
      <c r="B152" t="s">
        <v>45</v>
      </c>
      <c r="C152" t="s">
        <v>46</v>
      </c>
      <c r="D152" t="s">
        <v>118</v>
      </c>
      <c r="E152" t="str">
        <f t="shared" si="2"/>
        <v>Slovakia</v>
      </c>
    </row>
    <row r="153" spans="1:5" x14ac:dyDescent="0.3">
      <c r="A153" s="1">
        <v>46016</v>
      </c>
      <c r="B153" t="s">
        <v>48</v>
      </c>
      <c r="C153" t="s">
        <v>49</v>
      </c>
      <c r="D153" t="s">
        <v>118</v>
      </c>
      <c r="E153" t="str">
        <f t="shared" si="2"/>
        <v>Slovenia</v>
      </c>
    </row>
    <row r="154" spans="1:5" x14ac:dyDescent="0.3">
      <c r="A154" s="1">
        <v>46016</v>
      </c>
      <c r="B154" t="s">
        <v>112</v>
      </c>
      <c r="C154" t="s">
        <v>113</v>
      </c>
      <c r="D154" t="s">
        <v>118</v>
      </c>
      <c r="E154" t="str">
        <f t="shared" si="2"/>
        <v>South Africa</v>
      </c>
    </row>
    <row r="155" spans="1:5" x14ac:dyDescent="0.3">
      <c r="A155" s="1">
        <v>46016</v>
      </c>
      <c r="B155" t="s">
        <v>204</v>
      </c>
      <c r="C155" t="s">
        <v>205</v>
      </c>
      <c r="D155" t="s">
        <v>118</v>
      </c>
      <c r="E155" t="str">
        <f t="shared" si="2"/>
        <v>South Korea</v>
      </c>
    </row>
    <row r="156" spans="1:5" x14ac:dyDescent="0.3">
      <c r="A156" s="1">
        <v>46016</v>
      </c>
      <c r="B156" t="s">
        <v>204</v>
      </c>
      <c r="C156" t="s">
        <v>206</v>
      </c>
      <c r="D156" t="s">
        <v>118</v>
      </c>
      <c r="E156" t="str">
        <f t="shared" si="2"/>
        <v>South Korea</v>
      </c>
    </row>
    <row r="157" spans="1:5" x14ac:dyDescent="0.3">
      <c r="A157" s="1">
        <v>46016</v>
      </c>
      <c r="B157" t="s">
        <v>160</v>
      </c>
      <c r="C157" t="s">
        <v>161</v>
      </c>
      <c r="D157" t="s">
        <v>118</v>
      </c>
      <c r="E157" t="str">
        <f t="shared" si="2"/>
        <v>Spain</v>
      </c>
    </row>
    <row r="158" spans="1:5" x14ac:dyDescent="0.3">
      <c r="A158" s="1">
        <v>46016</v>
      </c>
      <c r="B158" t="s">
        <v>18</v>
      </c>
      <c r="C158" t="s">
        <v>19</v>
      </c>
      <c r="D158" t="s">
        <v>118</v>
      </c>
      <c r="E158" t="str">
        <f t="shared" si="2"/>
        <v>Sri Lanka</v>
      </c>
    </row>
    <row r="159" spans="1:5" x14ac:dyDescent="0.3">
      <c r="A159" s="1">
        <v>46016</v>
      </c>
      <c r="B159" t="s">
        <v>162</v>
      </c>
      <c r="C159" t="s">
        <v>163</v>
      </c>
      <c r="D159" t="s">
        <v>118</v>
      </c>
      <c r="E159" t="str">
        <f t="shared" si="2"/>
        <v>Sweden</v>
      </c>
    </row>
    <row r="160" spans="1:5" x14ac:dyDescent="0.3">
      <c r="A160" s="1">
        <v>46016</v>
      </c>
      <c r="B160" t="s">
        <v>164</v>
      </c>
      <c r="C160" t="s">
        <v>165</v>
      </c>
      <c r="D160" t="s">
        <v>118</v>
      </c>
      <c r="E160" t="str">
        <f t="shared" si="2"/>
        <v>Switzerland</v>
      </c>
    </row>
    <row r="161" spans="1:5" x14ac:dyDescent="0.3">
      <c r="A161" s="1">
        <v>46016</v>
      </c>
      <c r="B161" t="s">
        <v>97</v>
      </c>
      <c r="C161" t="s">
        <v>98</v>
      </c>
      <c r="D161" t="s">
        <v>118</v>
      </c>
      <c r="E161" t="str">
        <f t="shared" si="2"/>
        <v>Tanzania</v>
      </c>
    </row>
    <row r="162" spans="1:5" x14ac:dyDescent="0.3">
      <c r="A162" s="1">
        <v>46016</v>
      </c>
      <c r="B162" t="s">
        <v>207</v>
      </c>
      <c r="C162" t="s">
        <v>208</v>
      </c>
      <c r="D162" t="s">
        <v>118</v>
      </c>
      <c r="E162" t="str">
        <f t="shared" si="2"/>
        <v>Ukraine</v>
      </c>
    </row>
    <row r="163" spans="1:5" x14ac:dyDescent="0.3">
      <c r="A163" s="1">
        <v>46016</v>
      </c>
      <c r="B163" t="s">
        <v>166</v>
      </c>
      <c r="C163" t="s">
        <v>167</v>
      </c>
      <c r="D163" t="s">
        <v>118</v>
      </c>
      <c r="E163" t="str">
        <f t="shared" si="2"/>
        <v>United Kingdom</v>
      </c>
    </row>
    <row r="164" spans="1:5" x14ac:dyDescent="0.3">
      <c r="A164" s="1">
        <v>46016</v>
      </c>
      <c r="B164" t="s">
        <v>166</v>
      </c>
      <c r="C164" t="s">
        <v>209</v>
      </c>
      <c r="D164" t="s">
        <v>118</v>
      </c>
      <c r="E164" t="str">
        <f t="shared" si="2"/>
        <v>United Kingdom</v>
      </c>
    </row>
    <row r="165" spans="1:5" x14ac:dyDescent="0.3">
      <c r="A165" s="1">
        <v>46016</v>
      </c>
      <c r="B165" t="s">
        <v>70</v>
      </c>
      <c r="C165" t="s">
        <v>71</v>
      </c>
      <c r="D165" t="s">
        <v>118</v>
      </c>
      <c r="E165" t="str">
        <f t="shared" si="2"/>
        <v>United States</v>
      </c>
    </row>
    <row r="166" spans="1:5" x14ac:dyDescent="0.3">
      <c r="A166" s="1">
        <v>46016</v>
      </c>
      <c r="B166" t="s">
        <v>170</v>
      </c>
      <c r="C166" t="s">
        <v>171</v>
      </c>
      <c r="D166" t="s">
        <v>118</v>
      </c>
      <c r="E166" t="str">
        <f t="shared" si="2"/>
        <v>Venezuela</v>
      </c>
    </row>
    <row r="167" spans="1:5" x14ac:dyDescent="0.3">
      <c r="A167" s="1">
        <v>46016</v>
      </c>
      <c r="B167" t="s">
        <v>116</v>
      </c>
      <c r="C167" t="s">
        <v>117</v>
      </c>
      <c r="D167" t="s">
        <v>118</v>
      </c>
      <c r="E167" t="str">
        <f t="shared" si="2"/>
        <v>Zimbabwe</v>
      </c>
    </row>
    <row r="168" spans="1:5" x14ac:dyDescent="0.3">
      <c r="A168" s="1">
        <v>46017</v>
      </c>
      <c r="B168" t="s">
        <v>119</v>
      </c>
      <c r="C168" t="s">
        <v>120</v>
      </c>
      <c r="D168" t="s">
        <v>210</v>
      </c>
      <c r="E168" t="str">
        <f t="shared" si="2"/>
        <v>Australia</v>
      </c>
    </row>
    <row r="169" spans="1:5" x14ac:dyDescent="0.3">
      <c r="A169" s="1">
        <v>46017</v>
      </c>
      <c r="B169" t="s">
        <v>122</v>
      </c>
      <c r="C169" t="s">
        <v>123</v>
      </c>
      <c r="D169" t="s">
        <v>211</v>
      </c>
      <c r="E169" t="str">
        <f t="shared" si="2"/>
        <v>Austria</v>
      </c>
    </row>
    <row r="170" spans="1:5" x14ac:dyDescent="0.3">
      <c r="A170" s="1">
        <v>46017</v>
      </c>
      <c r="B170" t="s">
        <v>27</v>
      </c>
      <c r="C170" t="s">
        <v>28</v>
      </c>
      <c r="D170" t="s">
        <v>210</v>
      </c>
      <c r="E170" t="str">
        <f t="shared" si="2"/>
        <v>Bermuda</v>
      </c>
    </row>
    <row r="171" spans="1:5" x14ac:dyDescent="0.3">
      <c r="A171" s="1">
        <v>46017</v>
      </c>
      <c r="B171" t="s">
        <v>172</v>
      </c>
      <c r="C171" t="s">
        <v>173</v>
      </c>
      <c r="D171" t="s">
        <v>210</v>
      </c>
      <c r="E171" t="str">
        <f t="shared" si="2"/>
        <v>Botswana</v>
      </c>
    </row>
    <row r="172" spans="1:5" x14ac:dyDescent="0.3">
      <c r="A172" s="1">
        <v>46017</v>
      </c>
      <c r="B172" t="s">
        <v>128</v>
      </c>
      <c r="C172" t="s">
        <v>129</v>
      </c>
      <c r="D172" t="s">
        <v>118</v>
      </c>
      <c r="E172" t="str">
        <f t="shared" si="2"/>
        <v>Bulgaria</v>
      </c>
    </row>
    <row r="173" spans="1:5" x14ac:dyDescent="0.3">
      <c r="A173" s="1">
        <v>46017</v>
      </c>
      <c r="B173" t="s">
        <v>29</v>
      </c>
      <c r="C173" t="s">
        <v>31</v>
      </c>
      <c r="D173" t="s">
        <v>210</v>
      </c>
      <c r="E173" t="str">
        <f t="shared" si="2"/>
        <v>Canada</v>
      </c>
    </row>
    <row r="174" spans="1:5" x14ac:dyDescent="0.3">
      <c r="A174" s="1">
        <v>46017</v>
      </c>
      <c r="B174" t="s">
        <v>29</v>
      </c>
      <c r="C174" t="s">
        <v>30</v>
      </c>
      <c r="D174" t="s">
        <v>210</v>
      </c>
      <c r="E174" t="str">
        <f t="shared" si="2"/>
        <v>Canada</v>
      </c>
    </row>
    <row r="175" spans="1:5" x14ac:dyDescent="0.3">
      <c r="A175" s="1">
        <v>46017</v>
      </c>
      <c r="B175" t="s">
        <v>29</v>
      </c>
      <c r="C175" t="s">
        <v>174</v>
      </c>
      <c r="D175" t="s">
        <v>210</v>
      </c>
      <c r="E175" t="str">
        <f t="shared" si="2"/>
        <v>Canada</v>
      </c>
    </row>
    <row r="176" spans="1:5" x14ac:dyDescent="0.3">
      <c r="A176" s="1">
        <v>46017</v>
      </c>
      <c r="B176" t="s">
        <v>24</v>
      </c>
      <c r="C176" t="s">
        <v>25</v>
      </c>
      <c r="D176" t="s">
        <v>210</v>
      </c>
      <c r="E176" t="str">
        <f t="shared" si="2"/>
        <v>Cayman Islands</v>
      </c>
    </row>
    <row r="177" spans="1:5" x14ac:dyDescent="0.3">
      <c r="A177" s="1">
        <v>46017</v>
      </c>
      <c r="B177" t="s">
        <v>50</v>
      </c>
      <c r="C177" t="s">
        <v>51</v>
      </c>
      <c r="D177" t="s">
        <v>211</v>
      </c>
      <c r="E177" t="str">
        <f t="shared" si="2"/>
        <v>Croatia</v>
      </c>
    </row>
    <row r="178" spans="1:5" x14ac:dyDescent="0.3">
      <c r="A178" s="1">
        <v>46017</v>
      </c>
      <c r="B178" t="s">
        <v>130</v>
      </c>
      <c r="C178" t="s">
        <v>131</v>
      </c>
      <c r="D178" t="s">
        <v>210</v>
      </c>
      <c r="E178" t="str">
        <f t="shared" si="2"/>
        <v>Cyprus</v>
      </c>
    </row>
    <row r="179" spans="1:5" x14ac:dyDescent="0.3">
      <c r="A179" s="1">
        <v>46017</v>
      </c>
      <c r="B179" t="s">
        <v>40</v>
      </c>
      <c r="C179" t="s">
        <v>41</v>
      </c>
      <c r="D179" t="s">
        <v>211</v>
      </c>
      <c r="E179" t="str">
        <f t="shared" si="2"/>
        <v>Czech Republic</v>
      </c>
    </row>
    <row r="180" spans="1:5" x14ac:dyDescent="0.3">
      <c r="A180" s="1">
        <v>46017</v>
      </c>
      <c r="B180" t="s">
        <v>132</v>
      </c>
      <c r="C180" t="s">
        <v>133</v>
      </c>
      <c r="D180" t="s">
        <v>118</v>
      </c>
      <c r="E180" t="str">
        <f t="shared" si="2"/>
        <v>Denmark</v>
      </c>
    </row>
    <row r="181" spans="1:5" x14ac:dyDescent="0.3">
      <c r="A181" s="1">
        <v>46017</v>
      </c>
      <c r="B181" t="s">
        <v>134</v>
      </c>
      <c r="C181" t="s">
        <v>135</v>
      </c>
      <c r="D181" t="s">
        <v>210</v>
      </c>
      <c r="E181" t="str">
        <f t="shared" si="2"/>
        <v>Estonia</v>
      </c>
    </row>
    <row r="182" spans="1:5" x14ac:dyDescent="0.3">
      <c r="A182" s="1">
        <v>46017</v>
      </c>
      <c r="B182" t="s">
        <v>136</v>
      </c>
      <c r="C182" t="s">
        <v>137</v>
      </c>
      <c r="D182" t="s">
        <v>211</v>
      </c>
      <c r="E182" t="str">
        <f t="shared" si="2"/>
        <v>Finland</v>
      </c>
    </row>
    <row r="183" spans="1:5" x14ac:dyDescent="0.3">
      <c r="A183" s="1">
        <v>46017</v>
      </c>
      <c r="B183" t="s">
        <v>138</v>
      </c>
      <c r="C183" t="s">
        <v>139</v>
      </c>
      <c r="D183" t="s">
        <v>210</v>
      </c>
      <c r="E183" t="str">
        <f t="shared" si="2"/>
        <v>France</v>
      </c>
    </row>
    <row r="184" spans="1:5" x14ac:dyDescent="0.3">
      <c r="A184" s="1">
        <v>46017</v>
      </c>
      <c r="B184" t="s">
        <v>141</v>
      </c>
      <c r="C184" t="s">
        <v>142</v>
      </c>
      <c r="D184" t="s">
        <v>210</v>
      </c>
      <c r="E184" t="str">
        <f t="shared" si="2"/>
        <v>Germany</v>
      </c>
    </row>
    <row r="185" spans="1:5" x14ac:dyDescent="0.3">
      <c r="A185" s="1">
        <v>46017</v>
      </c>
      <c r="B185" t="s">
        <v>175</v>
      </c>
      <c r="C185" t="s">
        <v>176</v>
      </c>
      <c r="D185" t="s">
        <v>118</v>
      </c>
      <c r="E185" t="str">
        <f t="shared" si="2"/>
        <v>Greece</v>
      </c>
    </row>
    <row r="186" spans="1:5" x14ac:dyDescent="0.3">
      <c r="A186" s="1">
        <v>46017</v>
      </c>
      <c r="B186" t="s">
        <v>177</v>
      </c>
      <c r="C186" t="s">
        <v>178</v>
      </c>
      <c r="D186" t="s">
        <v>212</v>
      </c>
      <c r="E186" t="str">
        <f t="shared" si="2"/>
        <v>Hong Kong</v>
      </c>
    </row>
    <row r="187" spans="1:5" x14ac:dyDescent="0.3">
      <c r="A187" s="1">
        <v>46017</v>
      </c>
      <c r="B187" t="s">
        <v>143</v>
      </c>
      <c r="C187" t="s">
        <v>144</v>
      </c>
      <c r="D187" t="s">
        <v>118</v>
      </c>
      <c r="E187" t="str">
        <f t="shared" si="2"/>
        <v>Hungary</v>
      </c>
    </row>
    <row r="188" spans="1:5" x14ac:dyDescent="0.3">
      <c r="A188" s="1">
        <v>46017</v>
      </c>
      <c r="B188" t="s">
        <v>145</v>
      </c>
      <c r="C188" t="s">
        <v>146</v>
      </c>
      <c r="D188" t="s">
        <v>210</v>
      </c>
      <c r="E188" t="str">
        <f t="shared" si="2"/>
        <v>Iceland</v>
      </c>
    </row>
    <row r="189" spans="1:5" x14ac:dyDescent="0.3">
      <c r="A189" s="1">
        <v>46017</v>
      </c>
      <c r="B189" t="s">
        <v>179</v>
      </c>
      <c r="C189" t="s">
        <v>180</v>
      </c>
      <c r="D189" t="s">
        <v>118</v>
      </c>
      <c r="E189" t="str">
        <f t="shared" si="2"/>
        <v>Indonesia</v>
      </c>
    </row>
    <row r="190" spans="1:5" x14ac:dyDescent="0.3">
      <c r="A190" s="1">
        <v>46017</v>
      </c>
      <c r="B190" t="s">
        <v>150</v>
      </c>
      <c r="C190" t="s">
        <v>151</v>
      </c>
      <c r="D190" t="s">
        <v>211</v>
      </c>
      <c r="E190" t="str">
        <f t="shared" si="2"/>
        <v>Italy</v>
      </c>
    </row>
    <row r="191" spans="1:5" x14ac:dyDescent="0.3">
      <c r="A191" s="1">
        <v>46017</v>
      </c>
      <c r="B191" t="s">
        <v>181</v>
      </c>
      <c r="C191" t="s">
        <v>182</v>
      </c>
      <c r="D191" t="s">
        <v>210</v>
      </c>
      <c r="E191" t="str">
        <f t="shared" si="2"/>
        <v>Jamaica</v>
      </c>
    </row>
    <row r="192" spans="1:5" x14ac:dyDescent="0.3">
      <c r="A192" s="1">
        <v>46017</v>
      </c>
      <c r="B192" t="s">
        <v>100</v>
      </c>
      <c r="C192" t="s">
        <v>101</v>
      </c>
      <c r="D192" t="s">
        <v>210</v>
      </c>
      <c r="E192" t="str">
        <f t="shared" si="2"/>
        <v>Kenya</v>
      </c>
    </row>
    <row r="193" spans="1:5" x14ac:dyDescent="0.3">
      <c r="A193" s="1">
        <v>46017</v>
      </c>
      <c r="B193" t="s">
        <v>52</v>
      </c>
      <c r="C193" t="s">
        <v>53</v>
      </c>
      <c r="D193" t="s">
        <v>210</v>
      </c>
      <c r="E193" t="str">
        <f t="shared" si="2"/>
        <v>Latvia</v>
      </c>
    </row>
    <row r="194" spans="1:5" x14ac:dyDescent="0.3">
      <c r="A194" s="1">
        <v>46017</v>
      </c>
      <c r="B194" t="s">
        <v>152</v>
      </c>
      <c r="C194" t="s">
        <v>153</v>
      </c>
      <c r="D194" t="s">
        <v>210</v>
      </c>
      <c r="E194" t="str">
        <f t="shared" si="2"/>
        <v>Lithuania</v>
      </c>
    </row>
    <row r="195" spans="1:5" x14ac:dyDescent="0.3">
      <c r="A195" s="1">
        <v>46017</v>
      </c>
      <c r="B195" t="s">
        <v>156</v>
      </c>
      <c r="C195" t="s">
        <v>157</v>
      </c>
      <c r="D195" t="s">
        <v>210</v>
      </c>
      <c r="E195" t="str">
        <f t="shared" ref="E195:E210" si="3">TRIM(SUBSTITUTE(B195,CHAR(160),""))</f>
        <v>New Zealand</v>
      </c>
    </row>
    <row r="196" spans="1:5" x14ac:dyDescent="0.3">
      <c r="A196" s="1">
        <v>46017</v>
      </c>
      <c r="B196" t="s">
        <v>191</v>
      </c>
      <c r="C196" t="s">
        <v>192</v>
      </c>
      <c r="D196" t="s">
        <v>210</v>
      </c>
      <c r="E196" t="str">
        <f t="shared" si="3"/>
        <v>Nigeria</v>
      </c>
    </row>
    <row r="197" spans="1:5" x14ac:dyDescent="0.3">
      <c r="A197" s="1">
        <v>46017</v>
      </c>
      <c r="B197" t="s">
        <v>193</v>
      </c>
      <c r="C197" t="s">
        <v>194</v>
      </c>
      <c r="D197" t="s">
        <v>210</v>
      </c>
      <c r="E197" t="str">
        <f t="shared" si="3"/>
        <v>Norway</v>
      </c>
    </row>
    <row r="198" spans="1:5" x14ac:dyDescent="0.3">
      <c r="A198" s="1">
        <v>46017</v>
      </c>
      <c r="B198" t="s">
        <v>33</v>
      </c>
      <c r="C198" t="s">
        <v>34</v>
      </c>
      <c r="D198" t="s">
        <v>210</v>
      </c>
      <c r="E198" t="str">
        <f t="shared" si="3"/>
        <v>Poland</v>
      </c>
    </row>
    <row r="199" spans="1:5" x14ac:dyDescent="0.3">
      <c r="A199" s="1">
        <v>46017</v>
      </c>
      <c r="B199" t="s">
        <v>79</v>
      </c>
      <c r="C199" t="s">
        <v>80</v>
      </c>
      <c r="D199" t="s">
        <v>118</v>
      </c>
      <c r="E199" t="str">
        <f t="shared" si="3"/>
        <v>Romania</v>
      </c>
    </row>
    <row r="200" spans="1:5" x14ac:dyDescent="0.3">
      <c r="A200" s="1">
        <v>46017</v>
      </c>
      <c r="B200" t="s">
        <v>200</v>
      </c>
      <c r="C200" t="s">
        <v>201</v>
      </c>
      <c r="D200" t="s">
        <v>210</v>
      </c>
      <c r="E200" t="str">
        <f t="shared" si="3"/>
        <v>Rwanda</v>
      </c>
    </row>
    <row r="201" spans="1:5" x14ac:dyDescent="0.3">
      <c r="A201" s="1">
        <v>46017</v>
      </c>
      <c r="B201" t="s">
        <v>45</v>
      </c>
      <c r="C201" t="s">
        <v>46</v>
      </c>
      <c r="D201" t="s">
        <v>211</v>
      </c>
      <c r="E201" t="str">
        <f t="shared" si="3"/>
        <v>Slovakia</v>
      </c>
    </row>
    <row r="202" spans="1:5" x14ac:dyDescent="0.3">
      <c r="A202" s="1">
        <v>46017</v>
      </c>
      <c r="B202" t="s">
        <v>48</v>
      </c>
      <c r="C202" t="s">
        <v>49</v>
      </c>
      <c r="D202" t="s">
        <v>211</v>
      </c>
      <c r="E202" t="str">
        <f t="shared" si="3"/>
        <v>Slovenia</v>
      </c>
    </row>
    <row r="203" spans="1:5" x14ac:dyDescent="0.3">
      <c r="A203" s="1">
        <v>46017</v>
      </c>
      <c r="B203" t="s">
        <v>112</v>
      </c>
      <c r="C203" t="s">
        <v>113</v>
      </c>
      <c r="D203" t="s">
        <v>210</v>
      </c>
      <c r="E203" t="str">
        <f t="shared" si="3"/>
        <v>South Africa</v>
      </c>
    </row>
    <row r="204" spans="1:5" x14ac:dyDescent="0.3">
      <c r="A204" s="1">
        <v>46017</v>
      </c>
      <c r="B204" t="s">
        <v>160</v>
      </c>
      <c r="C204" t="s">
        <v>161</v>
      </c>
      <c r="D204" t="s">
        <v>211</v>
      </c>
      <c r="E204" t="str">
        <f t="shared" si="3"/>
        <v>Spain</v>
      </c>
    </row>
    <row r="205" spans="1:5" x14ac:dyDescent="0.3">
      <c r="A205" s="1">
        <v>46017</v>
      </c>
      <c r="B205" t="s">
        <v>162</v>
      </c>
      <c r="C205" t="s">
        <v>163</v>
      </c>
      <c r="D205" t="s">
        <v>210</v>
      </c>
      <c r="E205" t="str">
        <f t="shared" si="3"/>
        <v>Sweden</v>
      </c>
    </row>
    <row r="206" spans="1:5" x14ac:dyDescent="0.3">
      <c r="A206" s="1">
        <v>46017</v>
      </c>
      <c r="B206" t="s">
        <v>164</v>
      </c>
      <c r="C206" t="s">
        <v>165</v>
      </c>
      <c r="D206" t="s">
        <v>211</v>
      </c>
      <c r="E206" t="str">
        <f t="shared" si="3"/>
        <v>Switzerland</v>
      </c>
    </row>
    <row r="207" spans="1:5" x14ac:dyDescent="0.3">
      <c r="A207" s="1">
        <v>46017</v>
      </c>
      <c r="B207" t="s">
        <v>97</v>
      </c>
      <c r="C207" t="s">
        <v>98</v>
      </c>
      <c r="D207" t="s">
        <v>210</v>
      </c>
      <c r="E207" t="str">
        <f t="shared" si="3"/>
        <v>Tanzania</v>
      </c>
    </row>
    <row r="208" spans="1:5" x14ac:dyDescent="0.3">
      <c r="A208" s="1">
        <v>46017</v>
      </c>
      <c r="B208" t="s">
        <v>166</v>
      </c>
      <c r="C208" t="s">
        <v>167</v>
      </c>
      <c r="D208" t="s">
        <v>210</v>
      </c>
      <c r="E208" t="str">
        <f t="shared" si="3"/>
        <v>United Kingdom</v>
      </c>
    </row>
    <row r="209" spans="1:5" x14ac:dyDescent="0.3">
      <c r="A209" s="1">
        <v>46017</v>
      </c>
      <c r="B209" t="s">
        <v>166</v>
      </c>
      <c r="C209" t="s">
        <v>209</v>
      </c>
      <c r="D209" t="s">
        <v>210</v>
      </c>
      <c r="E209" t="str">
        <f t="shared" si="3"/>
        <v>United Kingdom</v>
      </c>
    </row>
    <row r="210" spans="1:5" x14ac:dyDescent="0.3">
      <c r="A210" s="1">
        <v>46017</v>
      </c>
      <c r="B210" t="s">
        <v>116</v>
      </c>
      <c r="C210" t="s">
        <v>117</v>
      </c>
      <c r="D210" t="s">
        <v>210</v>
      </c>
      <c r="E210" t="str">
        <f t="shared" si="3"/>
        <v>Zimbabwe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2B47-E1C2-4237-A48A-5128202E3F8F}">
  <sheetPr codeName="Sheet1"/>
  <dimension ref="A1:J17"/>
  <sheetViews>
    <sheetView tabSelected="1" workbookViewId="0">
      <selection activeCell="L11" sqref="L11"/>
    </sheetView>
  </sheetViews>
  <sheetFormatPr defaultRowHeight="14.4" x14ac:dyDescent="0.3"/>
  <cols>
    <col min="1" max="1" width="15" bestFit="1" customWidth="1"/>
    <col min="2" max="2" width="17.88671875" bestFit="1" customWidth="1"/>
    <col min="3" max="3" width="12.6640625" bestFit="1" customWidth="1"/>
    <col min="4" max="4" width="50.44140625" bestFit="1" customWidth="1"/>
    <col min="5" max="6" width="17.77734375" style="2" bestFit="1" customWidth="1"/>
    <col min="7" max="7" width="19.6640625" bestFit="1" customWidth="1"/>
    <col min="8" max="8" width="9.33203125" bestFit="1" customWidth="1"/>
    <col min="9" max="9" width="19.5546875" bestFit="1" customWidth="1"/>
    <col min="10" max="10" width="15.5546875" bestFit="1" customWidth="1"/>
  </cols>
  <sheetData>
    <row r="1" spans="1:10" s="3" customFormat="1" x14ac:dyDescent="0.3">
      <c r="A1" s="5" t="s">
        <v>276</v>
      </c>
      <c r="B1" s="5" t="s">
        <v>283</v>
      </c>
      <c r="C1" s="5" t="s">
        <v>273</v>
      </c>
      <c r="D1" s="5" t="s">
        <v>274</v>
      </c>
      <c r="E1" s="6" t="s">
        <v>227</v>
      </c>
      <c r="F1" s="6" t="s">
        <v>228</v>
      </c>
      <c r="G1" s="5" t="s">
        <v>246</v>
      </c>
      <c r="H1" s="5" t="s">
        <v>229</v>
      </c>
      <c r="I1" s="5" t="s">
        <v>230</v>
      </c>
      <c r="J1" s="8" t="s">
        <v>280</v>
      </c>
    </row>
    <row r="2" spans="1:10" x14ac:dyDescent="0.3">
      <c r="A2" t="s">
        <v>213</v>
      </c>
      <c r="C2" s="2" t="s">
        <v>248</v>
      </c>
      <c r="D2" s="2" t="s">
        <v>249</v>
      </c>
      <c r="E2" s="2">
        <v>0.35416666666666669</v>
      </c>
      <c r="F2" s="2">
        <v>0.625</v>
      </c>
      <c r="G2" t="s">
        <v>231</v>
      </c>
      <c r="H2" t="s">
        <v>232</v>
      </c>
      <c r="I2">
        <v>-6</v>
      </c>
      <c r="J2" s="9" t="str">
        <f>IFERROR(VLOOKUP(A2,'paste from Investing'!E:E,1,0),VLOOKUP(B2,'paste from Investing'!E:E,1,0))</f>
        <v>Mexico</v>
      </c>
    </row>
    <row r="3" spans="1:10" x14ac:dyDescent="0.3">
      <c r="A3" t="s">
        <v>214</v>
      </c>
      <c r="B3" t="s">
        <v>250</v>
      </c>
      <c r="C3" s="2" t="s">
        <v>251</v>
      </c>
      <c r="D3" s="2" t="s">
        <v>71</v>
      </c>
      <c r="E3" s="2">
        <v>0.39583333333333331</v>
      </c>
      <c r="F3" s="2">
        <v>0.66666666666666663</v>
      </c>
      <c r="G3" t="s">
        <v>233</v>
      </c>
      <c r="H3" t="s">
        <v>232</v>
      </c>
      <c r="I3">
        <v>-5</v>
      </c>
      <c r="J3" s="9" t="str">
        <f>IFERROR(VLOOKUP(A3,'paste from Investing'!E:E,1,0),VLOOKUP(B3,'paste from Investing'!E:E,1,0))</f>
        <v>United States</v>
      </c>
    </row>
    <row r="4" spans="1:10" x14ac:dyDescent="0.3">
      <c r="A4" t="s">
        <v>214</v>
      </c>
      <c r="B4" t="s">
        <v>250</v>
      </c>
      <c r="C4" s="2" t="s">
        <v>226</v>
      </c>
      <c r="D4" s="2" t="s">
        <v>252</v>
      </c>
      <c r="E4" s="2">
        <v>0.39583333333333331</v>
      </c>
      <c r="F4" s="2">
        <v>0.66666666666666663</v>
      </c>
      <c r="G4" t="s">
        <v>233</v>
      </c>
      <c r="H4" t="s">
        <v>232</v>
      </c>
      <c r="I4">
        <v>-5</v>
      </c>
      <c r="J4" s="9" t="str">
        <f>IFERROR(VLOOKUP(A4,'paste from Investing'!E:E,1,0),VLOOKUP(B4,'paste from Investing'!E:E,1,0))</f>
        <v>United States</v>
      </c>
    </row>
    <row r="5" spans="1:10" x14ac:dyDescent="0.3">
      <c r="A5" t="s">
        <v>214</v>
      </c>
      <c r="B5" t="s">
        <v>250</v>
      </c>
      <c r="C5" s="2" t="s">
        <v>247</v>
      </c>
      <c r="D5" s="2" t="s">
        <v>275</v>
      </c>
      <c r="E5" s="2">
        <v>0.39583333333333331</v>
      </c>
      <c r="F5" s="2">
        <v>0.66666666666666663</v>
      </c>
      <c r="G5" t="s">
        <v>233</v>
      </c>
      <c r="H5" t="s">
        <v>232</v>
      </c>
      <c r="I5">
        <v>-5</v>
      </c>
      <c r="J5" s="9" t="str">
        <f>IFERROR(VLOOKUP(A5,'paste from Investing'!E:E,1,0),VLOOKUP(B5,'paste from Investing'!E:E,1,0))</f>
        <v>United States</v>
      </c>
    </row>
    <row r="6" spans="1:10" x14ac:dyDescent="0.3">
      <c r="A6" t="s">
        <v>215</v>
      </c>
      <c r="C6" s="2" t="s">
        <v>253</v>
      </c>
      <c r="D6" s="2" t="s">
        <v>31</v>
      </c>
      <c r="E6" s="2">
        <v>0.39583333333333331</v>
      </c>
      <c r="F6" s="2">
        <v>0.66666666666666663</v>
      </c>
      <c r="G6" t="s">
        <v>234</v>
      </c>
      <c r="H6" t="s">
        <v>232</v>
      </c>
      <c r="I6">
        <v>-5</v>
      </c>
      <c r="J6" s="9" t="str">
        <f>IFERROR(VLOOKUP(A6,'paste from Investing'!E:E,1,0),VLOOKUP(B6,'paste from Investing'!E:E,1,0))</f>
        <v>Canada</v>
      </c>
    </row>
    <row r="7" spans="1:10" x14ac:dyDescent="0.3">
      <c r="A7" t="s">
        <v>216</v>
      </c>
      <c r="C7" s="2" t="s">
        <v>254</v>
      </c>
      <c r="D7" s="2" t="s">
        <v>255</v>
      </c>
      <c r="E7" s="2">
        <v>0.41666666666666669</v>
      </c>
      <c r="F7" s="2">
        <v>0.66666666666666663</v>
      </c>
      <c r="G7" t="s">
        <v>235</v>
      </c>
      <c r="H7" t="s">
        <v>232</v>
      </c>
      <c r="I7">
        <v>11</v>
      </c>
      <c r="J7" s="9" t="str">
        <f>IFERROR(VLOOKUP(A7,'paste from Investing'!E:E,1,0),VLOOKUP(B7,'paste from Investing'!E:E,1,0))</f>
        <v>Australia</v>
      </c>
    </row>
    <row r="8" spans="1:10" x14ac:dyDescent="0.3">
      <c r="A8" t="s">
        <v>217</v>
      </c>
      <c r="C8" s="2" t="s">
        <v>256</v>
      </c>
      <c r="D8" s="2" t="s">
        <v>257</v>
      </c>
      <c r="E8" s="2">
        <v>0.375</v>
      </c>
      <c r="F8" s="2">
        <v>0.72916666666666663</v>
      </c>
      <c r="G8" t="s">
        <v>236</v>
      </c>
      <c r="H8" t="s">
        <v>232</v>
      </c>
      <c r="I8">
        <v>1</v>
      </c>
      <c r="J8" s="9" t="str">
        <f>IFERROR(VLOOKUP(A8,'paste from Investing'!E:E,1,0),VLOOKUP(B8,'paste from Investing'!E:E,1,0))</f>
        <v>France</v>
      </c>
    </row>
    <row r="9" spans="1:10" x14ac:dyDescent="0.3">
      <c r="A9" t="s">
        <v>218</v>
      </c>
      <c r="C9" s="2" t="s">
        <v>277</v>
      </c>
      <c r="D9" s="2" t="s">
        <v>258</v>
      </c>
      <c r="E9" s="2">
        <v>0.375</v>
      </c>
      <c r="F9" s="2">
        <v>0.72916666666666663</v>
      </c>
      <c r="G9" t="s">
        <v>237</v>
      </c>
      <c r="H9" t="s">
        <v>232</v>
      </c>
      <c r="I9">
        <v>1</v>
      </c>
      <c r="J9" s="9" t="str">
        <f>IFERROR(VLOOKUP(A9,'paste from Investing'!E:E,1,0),VLOOKUP(B9,'paste from Investing'!E:E,1,0))</f>
        <v>Germany</v>
      </c>
    </row>
    <row r="10" spans="1:10" x14ac:dyDescent="0.3">
      <c r="A10" t="s">
        <v>219</v>
      </c>
      <c r="C10" s="2" t="s">
        <v>259</v>
      </c>
      <c r="D10" s="2" t="s">
        <v>167</v>
      </c>
      <c r="E10" s="2">
        <v>0.33333333333333331</v>
      </c>
      <c r="F10" s="2">
        <v>0.6875</v>
      </c>
      <c r="G10" t="s">
        <v>238</v>
      </c>
      <c r="H10" t="s">
        <v>232</v>
      </c>
      <c r="I10">
        <v>0</v>
      </c>
      <c r="J10" s="9" t="str">
        <f>IFERROR(VLOOKUP(A10,'paste from Investing'!E:E,1,0),VLOOKUP(B10,'paste from Investing'!E:E,1,0))</f>
        <v>United Kingdom</v>
      </c>
    </row>
    <row r="11" spans="1:10" x14ac:dyDescent="0.3">
      <c r="A11" t="s">
        <v>220</v>
      </c>
      <c r="C11" s="2" t="s">
        <v>260</v>
      </c>
      <c r="D11" s="2" t="s">
        <v>261</v>
      </c>
      <c r="E11" s="2">
        <v>0.39583333333333331</v>
      </c>
      <c r="F11" s="2">
        <v>0.625</v>
      </c>
      <c r="G11" t="s">
        <v>239</v>
      </c>
      <c r="H11" t="s">
        <v>240</v>
      </c>
      <c r="I11">
        <v>8</v>
      </c>
      <c r="J11" s="9" t="e">
        <f>IFERROR(VLOOKUP(A11,'paste from Investing'!E:E,1,0),VLOOKUP(B11,'paste from Investing'!E:E,1,0))</f>
        <v>#N/A</v>
      </c>
    </row>
    <row r="12" spans="1:10" x14ac:dyDescent="0.3">
      <c r="A12" t="s">
        <v>220</v>
      </c>
      <c r="C12" s="2" t="s">
        <v>262</v>
      </c>
      <c r="D12" s="2" t="s">
        <v>263</v>
      </c>
      <c r="E12" s="2">
        <v>0.39583333333333331</v>
      </c>
      <c r="F12" s="2">
        <v>0.625</v>
      </c>
      <c r="G12" t="s">
        <v>239</v>
      </c>
      <c r="H12" t="s">
        <v>240</v>
      </c>
      <c r="I12">
        <v>8</v>
      </c>
      <c r="J12" s="9" t="e">
        <f>IFERROR(VLOOKUP(A12,'paste from Investing'!E:E,1,0),VLOOKUP(B12,'paste from Investing'!E:E,1,0))</f>
        <v>#N/A</v>
      </c>
    </row>
    <row r="13" spans="1:10" x14ac:dyDescent="0.3">
      <c r="A13" t="s">
        <v>221</v>
      </c>
      <c r="C13" s="2" t="s">
        <v>264</v>
      </c>
      <c r="D13" s="2" t="s">
        <v>265</v>
      </c>
      <c r="E13" s="2">
        <v>0.38541666666666669</v>
      </c>
      <c r="F13" s="2">
        <v>0.64583333333333337</v>
      </c>
      <c r="G13" t="s">
        <v>241</v>
      </c>
      <c r="H13" t="s">
        <v>240</v>
      </c>
      <c r="I13">
        <v>6</v>
      </c>
      <c r="J13" s="9" t="str">
        <f>IFERROR(VLOOKUP(A13,'paste from Investing'!E:E,1,0),VLOOKUP(B13,'paste from Investing'!E:E,1,0))</f>
        <v>India</v>
      </c>
    </row>
    <row r="14" spans="1:10" x14ac:dyDescent="0.3">
      <c r="A14" t="s">
        <v>222</v>
      </c>
      <c r="C14" s="2" t="s">
        <v>266</v>
      </c>
      <c r="D14" s="2" t="s">
        <v>10</v>
      </c>
      <c r="E14" s="2">
        <v>0.375</v>
      </c>
      <c r="F14" s="2">
        <v>0.625</v>
      </c>
      <c r="G14" t="s">
        <v>242</v>
      </c>
      <c r="H14" t="s">
        <v>240</v>
      </c>
      <c r="I14">
        <v>9</v>
      </c>
      <c r="J14" s="9" t="str">
        <f>IFERROR(VLOOKUP(A14,'paste from Investing'!E:E,1,0),VLOOKUP(B14,'paste from Investing'!E:E,1,0))</f>
        <v>Japan</v>
      </c>
    </row>
    <row r="15" spans="1:10" x14ac:dyDescent="0.3">
      <c r="A15" t="s">
        <v>223</v>
      </c>
      <c r="C15" s="2" t="s">
        <v>267</v>
      </c>
      <c r="D15" s="2" t="s">
        <v>268</v>
      </c>
      <c r="E15" s="2">
        <v>0.375</v>
      </c>
      <c r="F15" s="2">
        <v>0.64583333333333337</v>
      </c>
      <c r="G15" t="s">
        <v>243</v>
      </c>
      <c r="H15" t="s">
        <v>240</v>
      </c>
      <c r="I15">
        <v>9</v>
      </c>
      <c r="J15" s="9" t="str">
        <f>IFERROR(VLOOKUP(A15,'paste from Investing'!E:E,1,0),VLOOKUP(B15,'paste from Investing'!E:E,1,0))</f>
        <v>South Korea</v>
      </c>
    </row>
    <row r="16" spans="1:10" x14ac:dyDescent="0.3">
      <c r="A16" t="s">
        <v>224</v>
      </c>
      <c r="C16" s="2" t="s">
        <v>269</v>
      </c>
      <c r="D16" s="2" t="s">
        <v>270</v>
      </c>
      <c r="E16" s="2">
        <v>0.39583333333333331</v>
      </c>
      <c r="F16" s="2">
        <v>0.66666666666666663</v>
      </c>
      <c r="G16" t="s">
        <v>244</v>
      </c>
      <c r="H16" t="s">
        <v>240</v>
      </c>
      <c r="I16">
        <v>8</v>
      </c>
      <c r="J16" s="9" t="str">
        <f>IFERROR(VLOOKUP(A16,'paste from Investing'!E:E,1,0),VLOOKUP(B16,'paste from Investing'!E:E,1,0))</f>
        <v>Hong Kong</v>
      </c>
    </row>
    <row r="17" spans="1:10" x14ac:dyDescent="0.3">
      <c r="A17" t="s">
        <v>225</v>
      </c>
      <c r="C17" s="2" t="s">
        <v>271</v>
      </c>
      <c r="D17" s="2" t="s">
        <v>272</v>
      </c>
      <c r="E17" s="2">
        <v>0.41666666666666669</v>
      </c>
      <c r="F17" s="2">
        <v>0.625</v>
      </c>
      <c r="G17" t="s">
        <v>245</v>
      </c>
      <c r="H17" t="s">
        <v>240</v>
      </c>
      <c r="I17">
        <v>3</v>
      </c>
      <c r="J17" s="9" t="e">
        <f>IFERROR(VLOOKUP(A17,'paste from Investing'!E:E,1,0),VLOOKUP(B17,'paste from Investing'!E:E,1,0))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BADF5-C77E-4A16-9028-3FE3C8BA1F9C}">
  <sheetPr codeName="Sheet3"/>
  <dimension ref="A1:D34"/>
  <sheetViews>
    <sheetView workbookViewId="0">
      <selection activeCell="D19" sqref="D19"/>
    </sheetView>
  </sheetViews>
  <sheetFormatPr defaultRowHeight="14.4" x14ac:dyDescent="0.3"/>
  <cols>
    <col min="1" max="1" width="10.5546875" style="7" bestFit="1" customWidth="1"/>
    <col min="2" max="2" width="15.44140625" bestFit="1" customWidth="1"/>
    <col min="3" max="3" width="27.109375" bestFit="1" customWidth="1"/>
    <col min="4" max="4" width="34.109375" bestFit="1" customWidth="1"/>
  </cols>
  <sheetData>
    <row r="1" spans="1:4" s="3" customFormat="1" x14ac:dyDescent="0.3">
      <c r="A1" s="10" t="s">
        <v>281</v>
      </c>
      <c r="B1" s="11" t="s">
        <v>276</v>
      </c>
      <c r="C1" s="11" t="s">
        <v>273</v>
      </c>
      <c r="D1" s="11" t="s">
        <v>282</v>
      </c>
    </row>
    <row r="2" spans="1:4" x14ac:dyDescent="0.3">
      <c r="A2" s="7" cm="1">
        <f t="array" ref="A2:D34">_xlfn._xlws.FILTER('paste from Investing'!A:D, COUNTIF(exchanges!$A$2:$A$17, TRIM(SUBSTITUTE('paste from Investing'!B:B,CHAR(160),""))) &gt; 0)</f>
        <v>45964</v>
      </c>
      <c r="B2" t="str">
        <v> Japan</v>
      </c>
      <c r="C2" t="str">
        <v>Tokyo Stock Exchange</v>
      </c>
      <c r="D2" t="str">
        <v>Culture Day</v>
      </c>
    </row>
    <row r="3" spans="1:4" x14ac:dyDescent="0.3">
      <c r="A3" s="7">
        <v>45966</v>
      </c>
      <c r="B3" t="str">
        <v> India</v>
      </c>
      <c r="C3" t="str">
        <v>India National Stock Exchange</v>
      </c>
      <c r="D3" t="str">
        <v>Guru Nanak Jayanti</v>
      </c>
    </row>
    <row r="4" spans="1:4" x14ac:dyDescent="0.3">
      <c r="A4" s="7">
        <v>45972</v>
      </c>
      <c r="B4" t="str">
        <v> Canada</v>
      </c>
      <c r="C4" t="str">
        <v>Canadian Securities Exchange</v>
      </c>
      <c r="D4" t="str">
        <v>Armistice Day in World War I</v>
      </c>
    </row>
    <row r="5" spans="1:4" x14ac:dyDescent="0.3">
      <c r="A5" s="7">
        <v>45972</v>
      </c>
      <c r="B5" t="str">
        <v> Canada</v>
      </c>
      <c r="C5" t="str">
        <v>Toronto Stock Exchange</v>
      </c>
      <c r="D5" t="str">
        <v>Remembrance Day</v>
      </c>
    </row>
    <row r="6" spans="1:4" x14ac:dyDescent="0.3">
      <c r="A6" s="7">
        <v>45978</v>
      </c>
      <c r="B6" t="str">
        <v> Mexico</v>
      </c>
      <c r="C6" t="str">
        <v>Mexico Stock Exchange</v>
      </c>
      <c r="D6" t="str">
        <v>Revolution Day</v>
      </c>
    </row>
    <row r="7" spans="1:4" x14ac:dyDescent="0.3">
      <c r="A7" s="7">
        <v>45985</v>
      </c>
      <c r="B7" t="str">
        <v> Japan</v>
      </c>
      <c r="C7" t="str">
        <v>Tokyo Stock Exchange</v>
      </c>
      <c r="D7" t="str">
        <v>Labor Day</v>
      </c>
    </row>
    <row r="8" spans="1:4" x14ac:dyDescent="0.3">
      <c r="A8" s="7">
        <v>46003</v>
      </c>
      <c r="B8" t="str">
        <v> Mexico</v>
      </c>
      <c r="C8" t="str">
        <v>Mexico Stock Exchange</v>
      </c>
      <c r="D8" t="str">
        <v>Bank Holiday</v>
      </c>
    </row>
    <row r="9" spans="1:4" x14ac:dyDescent="0.3">
      <c r="A9" s="7">
        <v>46015</v>
      </c>
      <c r="B9" t="str">
        <v> Australia</v>
      </c>
      <c r="C9" t="str">
        <v>Sydney Stock Exchange</v>
      </c>
      <c r="D9" t="str">
        <v>Christmas - Early close at 14:00</v>
      </c>
    </row>
    <row r="10" spans="1:4" x14ac:dyDescent="0.3">
      <c r="A10" s="7">
        <v>46015</v>
      </c>
      <c r="B10" t="str">
        <v> France</v>
      </c>
      <c r="C10" t="str">
        <v>Paris Stock Exchange</v>
      </c>
      <c r="D10" t="str">
        <v>Christmas - Early close at 14:05</v>
      </c>
    </row>
    <row r="11" spans="1:4" x14ac:dyDescent="0.3">
      <c r="A11" s="7">
        <v>46015</v>
      </c>
      <c r="B11" t="str">
        <v> Germany</v>
      </c>
      <c r="C11" t="str">
        <v>Frankfurt Stock Exchange</v>
      </c>
      <c r="D11" t="str">
        <v>Christmas</v>
      </c>
    </row>
    <row r="12" spans="1:4" x14ac:dyDescent="0.3">
      <c r="A12" s="7">
        <v>46015</v>
      </c>
      <c r="B12" t="str">
        <v> United Kingdom</v>
      </c>
      <c r="C12" t="str">
        <v>London Stock Exchange</v>
      </c>
      <c r="D12" t="str">
        <v>Christmas - Early close at 12:30</v>
      </c>
    </row>
    <row r="13" spans="1:4" x14ac:dyDescent="0.3">
      <c r="A13" s="7">
        <v>46016</v>
      </c>
      <c r="B13" t="str">
        <v> Australia</v>
      </c>
      <c r="C13" t="str">
        <v>Sydney Stock Exchange</v>
      </c>
      <c r="D13" t="str">
        <v>Christmas</v>
      </c>
    </row>
    <row r="14" spans="1:4" x14ac:dyDescent="0.3">
      <c r="A14" s="7">
        <v>46016</v>
      </c>
      <c r="B14" t="str">
        <v> Canada</v>
      </c>
      <c r="C14" t="str">
        <v>Canadian Securities Exchange</v>
      </c>
      <c r="D14" t="str">
        <v>Christmas</v>
      </c>
    </row>
    <row r="15" spans="1:4" x14ac:dyDescent="0.3">
      <c r="A15" s="7">
        <v>46016</v>
      </c>
      <c r="B15" t="str">
        <v> Canada</v>
      </c>
      <c r="C15" t="str">
        <v>Toronto Stock Exchange</v>
      </c>
      <c r="D15" t="str">
        <v>Christmas</v>
      </c>
    </row>
    <row r="16" spans="1:4" x14ac:dyDescent="0.3">
      <c r="A16" s="7">
        <v>46016</v>
      </c>
      <c r="B16" t="str">
        <v> Canada</v>
      </c>
      <c r="C16" t="str">
        <v>TSX Venture Exchange</v>
      </c>
      <c r="D16" t="str">
        <v>Christmas</v>
      </c>
    </row>
    <row r="17" spans="1:4" x14ac:dyDescent="0.3">
      <c r="A17" s="7">
        <v>46016</v>
      </c>
      <c r="B17" t="str">
        <v> France</v>
      </c>
      <c r="C17" t="str">
        <v>Paris Stock Exchange</v>
      </c>
      <c r="D17" t="str">
        <v>Christmas</v>
      </c>
    </row>
    <row r="18" spans="1:4" x14ac:dyDescent="0.3">
      <c r="A18" s="7">
        <v>46016</v>
      </c>
      <c r="B18" t="str">
        <v> Germany</v>
      </c>
      <c r="C18" t="str">
        <v>Frankfurt Stock Exchange</v>
      </c>
      <c r="D18" t="str">
        <v>Christmas</v>
      </c>
    </row>
    <row r="19" spans="1:4" x14ac:dyDescent="0.3">
      <c r="A19" s="7">
        <v>46016</v>
      </c>
      <c r="B19" t="str">
        <v> Hong Kong</v>
      </c>
      <c r="C19" t="str">
        <v>Hong Kong Stock Exchange</v>
      </c>
      <c r="D19" t="str">
        <v>Christmas</v>
      </c>
    </row>
    <row r="20" spans="1:4" x14ac:dyDescent="0.3">
      <c r="A20" s="7">
        <v>46016</v>
      </c>
      <c r="B20" t="str">
        <v> India</v>
      </c>
      <c r="C20" t="str">
        <v>India National Stock Exchange</v>
      </c>
      <c r="D20" t="str">
        <v>Christmas</v>
      </c>
    </row>
    <row r="21" spans="1:4" x14ac:dyDescent="0.3">
      <c r="A21" s="7">
        <v>46016</v>
      </c>
      <c r="B21" t="str">
        <v> Mexico</v>
      </c>
      <c r="C21" t="str">
        <v>Mexico Stock Exchange</v>
      </c>
      <c r="D21" t="str">
        <v>Christmas</v>
      </c>
    </row>
    <row r="22" spans="1:4" x14ac:dyDescent="0.3">
      <c r="A22" s="7">
        <v>46016</v>
      </c>
      <c r="B22" t="str">
        <v> South Korea</v>
      </c>
      <c r="C22" t="str">
        <v>Seoul Stock Exchange</v>
      </c>
      <c r="D22" t="str">
        <v>Christmas</v>
      </c>
    </row>
    <row r="23" spans="1:4" x14ac:dyDescent="0.3">
      <c r="A23" s="7">
        <v>46016</v>
      </c>
      <c r="B23" t="str">
        <v> South Korea</v>
      </c>
      <c r="C23" t="str">
        <v>KOSDAQ</v>
      </c>
      <c r="D23" t="str">
        <v>Christmas</v>
      </c>
    </row>
    <row r="24" spans="1:4" x14ac:dyDescent="0.3">
      <c r="A24" s="7">
        <v>46016</v>
      </c>
      <c r="B24" t="str">
        <v> United Kingdom</v>
      </c>
      <c r="C24" t="str">
        <v>London Stock Exchange</v>
      </c>
      <c r="D24" t="str">
        <v>Christmas</v>
      </c>
    </row>
    <row r="25" spans="1:4" x14ac:dyDescent="0.3">
      <c r="A25" s="7">
        <v>46016</v>
      </c>
      <c r="B25" t="str">
        <v> United Kingdom</v>
      </c>
      <c r="C25" t="str">
        <v>Aquis Exchange</v>
      </c>
      <c r="D25" t="str">
        <v>Christmas</v>
      </c>
    </row>
    <row r="26" spans="1:4" x14ac:dyDescent="0.3">
      <c r="A26" s="7">
        <v>46017</v>
      </c>
      <c r="B26" t="str">
        <v> Australia</v>
      </c>
      <c r="C26" t="str">
        <v>Sydney Stock Exchange</v>
      </c>
      <c r="D26" t="str">
        <v>Boxing Day</v>
      </c>
    </row>
    <row r="27" spans="1:4" x14ac:dyDescent="0.3">
      <c r="A27" s="7">
        <v>46017</v>
      </c>
      <c r="B27" t="str">
        <v> Canada</v>
      </c>
      <c r="C27" t="str">
        <v>Toronto Stock Exchange</v>
      </c>
      <c r="D27" t="str">
        <v>Boxing Day</v>
      </c>
    </row>
    <row r="28" spans="1:4" x14ac:dyDescent="0.3">
      <c r="A28" s="7">
        <v>46017</v>
      </c>
      <c r="B28" t="str">
        <v> Canada</v>
      </c>
      <c r="C28" t="str">
        <v>Canadian Securities Exchange</v>
      </c>
      <c r="D28" t="str">
        <v>Boxing Day</v>
      </c>
    </row>
    <row r="29" spans="1:4" x14ac:dyDescent="0.3">
      <c r="A29" s="7">
        <v>46017</v>
      </c>
      <c r="B29" t="str">
        <v> Canada</v>
      </c>
      <c r="C29" t="str">
        <v>TSX Venture Exchange</v>
      </c>
      <c r="D29" t="str">
        <v>Boxing Day</v>
      </c>
    </row>
    <row r="30" spans="1:4" x14ac:dyDescent="0.3">
      <c r="A30" s="7">
        <v>46017</v>
      </c>
      <c r="B30" t="str">
        <v> France</v>
      </c>
      <c r="C30" t="str">
        <v>Paris Stock Exchange</v>
      </c>
      <c r="D30" t="str">
        <v>Boxing Day</v>
      </c>
    </row>
    <row r="31" spans="1:4" x14ac:dyDescent="0.3">
      <c r="A31" s="7">
        <v>46017</v>
      </c>
      <c r="B31" t="str">
        <v> Germany</v>
      </c>
      <c r="C31" t="str">
        <v>Frankfurt Stock Exchange</v>
      </c>
      <c r="D31" t="str">
        <v>Boxing Day</v>
      </c>
    </row>
    <row r="32" spans="1:4" x14ac:dyDescent="0.3">
      <c r="A32" s="7">
        <v>46017</v>
      </c>
      <c r="B32" t="str">
        <v> Hong Kong</v>
      </c>
      <c r="C32" t="str">
        <v>Hong Kong Stock Exchange</v>
      </c>
      <c r="D32" t="str">
        <v>The first weekday after Christmas Day</v>
      </c>
    </row>
    <row r="33" spans="1:4" x14ac:dyDescent="0.3">
      <c r="A33" s="7">
        <v>46017</v>
      </c>
      <c r="B33" t="str">
        <v> United Kingdom</v>
      </c>
      <c r="C33" t="str">
        <v>London Stock Exchange</v>
      </c>
      <c r="D33" t="str">
        <v>Boxing Day</v>
      </c>
    </row>
    <row r="34" spans="1:4" x14ac:dyDescent="0.3">
      <c r="A34" s="7">
        <v>46017</v>
      </c>
      <c r="B34" t="str">
        <v> United Kingdom</v>
      </c>
      <c r="C34" t="str">
        <v>Aquis Exchange</v>
      </c>
      <c r="D34" t="str">
        <v>Boxing Day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macro</vt:lpstr>
      <vt:lpstr>paste from Investing</vt:lpstr>
      <vt:lpstr>exchanges</vt:lpstr>
      <vt:lpstr>holiday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 Bouzid</dc:creator>
  <cp:lastModifiedBy>Sami Bouzid</cp:lastModifiedBy>
  <dcterms:created xsi:type="dcterms:W3CDTF">2025-11-03T17:20:00Z</dcterms:created>
  <dcterms:modified xsi:type="dcterms:W3CDTF">2025-11-04T15:18:20Z</dcterms:modified>
</cp:coreProperties>
</file>