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uzi\Documents\StockPricePredictorGit\markets\tickers\"/>
    </mc:Choice>
  </mc:AlternateContent>
  <xr:revisionPtr revIDLastSave="0" documentId="13_ncr:1_{7075D9EB-382E-4B59-9380-72C37D883BE6}" xr6:coauthVersionLast="47" xr6:coauthVersionMax="47" xr10:uidLastSave="{00000000-0000-0000-0000-000000000000}"/>
  <bookViews>
    <workbookView xWindow="28680" yWindow="-120" windowWidth="29040" windowHeight="16440" xr2:uid="{591C2279-365B-4EF6-918C-5B243135B387}"/>
  </bookViews>
  <sheets>
    <sheet name="Macro" sheetId="6" r:id="rId1"/>
    <sheet name="Statistics" sheetId="13" r:id="rId2"/>
    <sheet name="equity" sheetId="3" r:id="rId3"/>
    <sheet name="bond" sheetId="1" r:id="rId4"/>
    <sheet name="forex" sheetId="7" r:id="rId5"/>
    <sheet name="cryptocurrency" sheetId="2" r:id="rId6"/>
    <sheet name="commodity" sheetId="4" r:id="rId7"/>
  </sheets>
  <definedNames>
    <definedName name="_xlnm._FilterDatabase" localSheetId="3" hidden="1">bond!$A$1:$K$22</definedName>
    <definedName name="_xlnm._FilterDatabase" localSheetId="6" hidden="1">commodity!$A$1:$F$47</definedName>
    <definedName name="_xlnm._FilterDatabase" localSheetId="5" hidden="1">cryptocurrency!$A$1:$E$8</definedName>
    <definedName name="_xlnm._FilterDatabase" localSheetId="2" hidden="1">equity!$A$1:$K$71</definedName>
    <definedName name="_xlnm._FilterDatabase" localSheetId="4" hidden="1">forex!$A$1:$F$8</definedName>
    <definedName name="_xleta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3" l="1"/>
  <c r="D4" i="13"/>
  <c r="D6" i="13"/>
  <c r="C6" i="13"/>
  <c r="C7" i="13"/>
  <c r="C5" i="13"/>
  <c r="D3" i="13"/>
  <c r="C4" i="13"/>
  <c r="D7" i="13"/>
  <c r="C3" i="13"/>
  <c r="C8" i="13" l="1"/>
  <c r="D8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G1" authorId="0" shapeId="0" xr:uid="{4BF79093-9565-47E5-BF5C-2FD8C8AC51EE}">
      <text>
        <r>
          <rPr>
            <b/>
            <sz val="9"/>
            <color indexed="81"/>
            <rFont val="Tahoma"/>
            <family val="2"/>
          </rPr>
          <t>Criteria that I'll use to build my own indices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H1" authorId="0" shapeId="0" xr:uid="{5BB81D17-7018-4DFF-BBA9-C585E1404BC3}">
      <text>
        <r>
          <rPr>
            <b/>
            <sz val="9"/>
            <color indexed="81"/>
            <rFont val="Tahoma"/>
            <family val="2"/>
          </rPr>
          <t xml:space="preserve">Sovereign: </t>
        </r>
        <r>
          <rPr>
            <sz val="9"/>
            <color indexed="81"/>
            <rFont val="Tahoma"/>
            <family val="2"/>
          </rPr>
          <t>Bonds issued by a national government (e.g., U.S. Treasuries, German Bunds).</t>
        </r>
        <r>
          <rPr>
            <b/>
            <sz val="9"/>
            <color indexed="81"/>
            <rFont val="Tahoma"/>
            <family val="2"/>
          </rPr>
          <t xml:space="preserve">
Agency: </t>
        </r>
        <r>
          <rPr>
            <sz val="9"/>
            <color indexed="81"/>
            <rFont val="Tahoma"/>
            <family val="2"/>
          </rPr>
          <t>Bonds issued by government-affiliated entities but not directly by the central government (e.g., Fannie Mae, Freddie Mac in the U.S.).</t>
        </r>
        <r>
          <rPr>
            <b/>
            <sz val="9"/>
            <color indexed="81"/>
            <rFont val="Tahoma"/>
            <family val="2"/>
          </rPr>
          <t xml:space="preserve">
Supranational: </t>
        </r>
        <r>
          <rPr>
            <sz val="9"/>
            <color indexed="81"/>
            <rFont val="Tahoma"/>
            <family val="2"/>
          </rPr>
          <t>Bonds issued by multinational organizations, such as the World Bank or the European Investment Bank.</t>
        </r>
        <r>
          <rPr>
            <b/>
            <sz val="9"/>
            <color indexed="81"/>
            <rFont val="Tahoma"/>
            <family val="2"/>
          </rPr>
          <t xml:space="preserve">
Municipal: </t>
        </r>
        <r>
          <rPr>
            <sz val="9"/>
            <color indexed="81"/>
            <rFont val="Tahoma"/>
            <family val="2"/>
          </rPr>
          <t>Bonds issued by state, city, or local governments, often used for infrastructure projects (mostly relevant in the U.S.).
Corporate: Bonds issued by private or public corporations. These can be further divided into:</t>
        </r>
        <r>
          <rPr>
            <b/>
            <sz val="9"/>
            <color indexed="81"/>
            <rFont val="Tahoma"/>
            <family val="2"/>
          </rPr>
          <t xml:space="preserve">
Financial: </t>
        </r>
        <r>
          <rPr>
            <sz val="9"/>
            <color indexed="81"/>
            <rFont val="Tahoma"/>
            <family val="2"/>
          </rPr>
          <t>Bonds issued by financial institutions (e.g., banks, insurance companies).</t>
        </r>
        <r>
          <rPr>
            <b/>
            <sz val="9"/>
            <color indexed="81"/>
            <rFont val="Tahoma"/>
            <family val="2"/>
          </rPr>
          <t xml:space="preserve">
Industrial: </t>
        </r>
        <r>
          <rPr>
            <sz val="9"/>
            <color indexed="81"/>
            <rFont val="Tahoma"/>
            <family val="2"/>
          </rPr>
          <t>Bonds issued by non-financial corporations (e.g., technology, manufacturing)</t>
        </r>
      </text>
    </comment>
  </commentList>
</comments>
</file>

<file path=xl/sharedStrings.xml><?xml version="1.0" encoding="utf-8"?>
<sst xmlns="http://schemas.openxmlformats.org/spreadsheetml/2006/main" count="1065" uniqueCount="435">
  <si>
    <t>Latin America</t>
  </si>
  <si>
    <t>^MXX</t>
  </si>
  <si>
    <t>Mexico</t>
  </si>
  <si>
    <t>constituents_count</t>
  </si>
  <si>
    <t>ticker</t>
  </si>
  <si>
    <t>region</t>
  </si>
  <si>
    <t>country</t>
  </si>
  <si>
    <t>Brazil</t>
  </si>
  <si>
    <t>Argentina</t>
  </si>
  <si>
    <t>asset_class</t>
  </si>
  <si>
    <t>Chile</t>
  </si>
  <si>
    <t>custom_region</t>
  </si>
  <si>
    <t>Colombia</t>
  </si>
  <si>
    <t>name</t>
  </si>
  <si>
    <t>source</t>
  </si>
  <si>
    <t>yfinance</t>
  </si>
  <si>
    <t>North America</t>
  </si>
  <si>
    <t>South America</t>
  </si>
  <si>
    <t>S&amp;P/BMV IPC</t>
  </si>
  <si>
    <t>Bovespa</t>
  </si>
  <si>
    <t>^BVSP</t>
  </si>
  <si>
    <t>S&amp;P Merval</t>
  </si>
  <si>
    <t>^MERV</t>
  </si>
  <si>
    <t>MSCI Colcap</t>
  </si>
  <si>
    <t>S&amp;P CLX IPSA</t>
  </si>
  <si>
    <t>US</t>
  </si>
  <si>
    <t>Canada</t>
  </si>
  <si>
    <t>Oceania</t>
  </si>
  <si>
    <t>Australasia</t>
  </si>
  <si>
    <t>Australia</t>
  </si>
  <si>
    <t>Africa</t>
  </si>
  <si>
    <t>Morocco</t>
  </si>
  <si>
    <t>New Zealand</t>
  </si>
  <si>
    <t>Egypt</t>
  </si>
  <si>
    <t>Nigeria</t>
  </si>
  <si>
    <t>South Africa</t>
  </si>
  <si>
    <t>Algeria</t>
  </si>
  <si>
    <t>sub_region</t>
  </si>
  <si>
    <t>Maghreb</t>
  </si>
  <si>
    <t>Middle East</t>
  </si>
  <si>
    <t>Belgium</t>
  </si>
  <si>
    <t>Austria</t>
  </si>
  <si>
    <t>Czech Republic</t>
  </si>
  <si>
    <t>Denmark</t>
  </si>
  <si>
    <t>Finland</t>
  </si>
  <si>
    <t>France</t>
  </si>
  <si>
    <t>Germany</t>
  </si>
  <si>
    <t>Greece</t>
  </si>
  <si>
    <t>Hungary</t>
  </si>
  <si>
    <t>Ireland</t>
  </si>
  <si>
    <t>Italy</t>
  </si>
  <si>
    <t>Luxembourg</t>
  </si>
  <si>
    <t>Netherlands</t>
  </si>
  <si>
    <t>Norway</t>
  </si>
  <si>
    <t>Poland</t>
  </si>
  <si>
    <t>Portugal</t>
  </si>
  <si>
    <t>Romania</t>
  </si>
  <si>
    <t>Russia</t>
  </si>
  <si>
    <t>Spain</t>
  </si>
  <si>
    <t>Sweden</t>
  </si>
  <si>
    <t>Switzerland</t>
  </si>
  <si>
    <t>United Kingdom</t>
  </si>
  <si>
    <t>Europe</t>
  </si>
  <si>
    <t>Benelux</t>
  </si>
  <si>
    <t>DACH</t>
  </si>
  <si>
    <t>CEE</t>
  </si>
  <si>
    <t>Scandinavia</t>
  </si>
  <si>
    <t>British Isles</t>
  </si>
  <si>
    <t>PIGS</t>
  </si>
  <si>
    <t>Turkey</t>
  </si>
  <si>
    <t>Asia</t>
  </si>
  <si>
    <t>Bangladesh</t>
  </si>
  <si>
    <t>China</t>
  </si>
  <si>
    <t>India</t>
  </si>
  <si>
    <t>Indonesia</t>
  </si>
  <si>
    <t>Iran</t>
  </si>
  <si>
    <t>Israel</t>
  </si>
  <si>
    <t>Japan</t>
  </si>
  <si>
    <t>Malaysia</t>
  </si>
  <si>
    <t>Pakistan</t>
  </si>
  <si>
    <t>Philippines</t>
  </si>
  <si>
    <t>Qatar</t>
  </si>
  <si>
    <t>Saudi Arabia</t>
  </si>
  <si>
    <t>Singapore</t>
  </si>
  <si>
    <t>South Korea</t>
  </si>
  <si>
    <t>Taiwan</t>
  </si>
  <si>
    <t>Thailand</t>
  </si>
  <si>
    <t>United Arab Emirates</t>
  </si>
  <si>
    <t>Vietnam</t>
  </si>
  <si>
    <t>Asie</t>
  </si>
  <si>
    <t>South Asia</t>
  </si>
  <si>
    <t>Greater China</t>
  </si>
  <si>
    <t>Hong Kong</t>
  </si>
  <si>
    <t>ASEAN</t>
  </si>
  <si>
    <t>^GSPC</t>
  </si>
  <si>
    <t>S&amp;P 500</t>
  </si>
  <si>
    <t>^GSPTSE</t>
  </si>
  <si>
    <t>S&amp;P/TSX</t>
  </si>
  <si>
    <t>S&amp;P/ASX 200</t>
  </si>
  <si>
    <t>^AXJO</t>
  </si>
  <si>
    <t>NZX 50</t>
  </si>
  <si>
    <t>^NZ50</t>
  </si>
  <si>
    <t>Moroccan All Shares</t>
  </si>
  <si>
    <t>EGX 70</t>
  </si>
  <si>
    <t>NSE 30</t>
  </si>
  <si>
    <t>FTSE South Africa</t>
  </si>
  <si>
    <t>VanEck Africa Index ETF</t>
  </si>
  <si>
    <t>AFK</t>
  </si>
  <si>
    <t>DZAIR Index</t>
  </si>
  <si>
    <t>Bel 20</t>
  </si>
  <si>
    <t>^BFX</t>
  </si>
  <si>
    <t>^ATX</t>
  </si>
  <si>
    <t>ATX</t>
  </si>
  <si>
    <t>Expat Czech PX UCITS ETF</t>
  </si>
  <si>
    <t>CZX.F</t>
  </si>
  <si>
    <t>PX</t>
  </si>
  <si>
    <t>iShares MSCI South Africa ETF</t>
  </si>
  <si>
    <t>EZA</t>
  </si>
  <si>
    <t>^OMXH25</t>
  </si>
  <si>
    <t>OMX Helsinki 25</t>
  </si>
  <si>
    <t>^FCHI</t>
  </si>
  <si>
    <t>CAC 40</t>
  </si>
  <si>
    <t>DAX</t>
  </si>
  <si>
    <t>^GDAXI</t>
  </si>
  <si>
    <t>GD.AT</t>
  </si>
  <si>
    <t>Athens Composite Index</t>
  </si>
  <si>
    <t>Hungarian Traded Index</t>
  </si>
  <si>
    <t>^HTL</t>
  </si>
  <si>
    <t>ISEQ All Share</t>
  </si>
  <si>
    <t>^ISEQ</t>
  </si>
  <si>
    <t>LuxX Price Index</t>
  </si>
  <si>
    <t>AEX</t>
  </si>
  <si>
    <t>^AEX</t>
  </si>
  <si>
    <t>OSE Benchmark</t>
  </si>
  <si>
    <t>OSEBX.OL</t>
  </si>
  <si>
    <t>Polish Traded Index</t>
  </si>
  <si>
    <t>^PTL</t>
  </si>
  <si>
    <t>PSI20.LS</t>
  </si>
  <si>
    <t>PSI</t>
  </si>
  <si>
    <t>BET</t>
  </si>
  <si>
    <t>^IBEX</t>
  </si>
  <si>
    <t>IBEX 35</t>
  </si>
  <si>
    <t>OMX Stockholm 30 Index</t>
  </si>
  <si>
    <t>^OMX</t>
  </si>
  <si>
    <t>SMI</t>
  </si>
  <si>
    <t>^SSMI</t>
  </si>
  <si>
    <t>^FTSE</t>
  </si>
  <si>
    <t>FTSE 100</t>
  </si>
  <si>
    <t>Expat Romania BET - BK UCITS ETF</t>
  </si>
  <si>
    <t>ROX.F</t>
  </si>
  <si>
    <t>iShares MSCI Chile ETF</t>
  </si>
  <si>
    <t>ECH</t>
  </si>
  <si>
    <t>XU100.IS</t>
  </si>
  <si>
    <t>BIST 100</t>
  </si>
  <si>
    <t>DFM General</t>
  </si>
  <si>
    <t>iShares MSCI UAE ETF</t>
  </si>
  <si>
    <t>UAE</t>
  </si>
  <si>
    <t>Tadawul All Shares Index</t>
  </si>
  <si>
    <t>^TASI.SR</t>
  </si>
  <si>
    <t>QE General</t>
  </si>
  <si>
    <t>iShares MSCI Qatar ETF</t>
  </si>
  <si>
    <t>QAT</t>
  </si>
  <si>
    <t>TA35.TA</t>
  </si>
  <si>
    <t>TA 35</t>
  </si>
  <si>
    <t>MOEX Russia Index</t>
  </si>
  <si>
    <t>Shanghai Composite Index</t>
  </si>
  <si>
    <t>000001.SS</t>
  </si>
  <si>
    <t>S&amp;P BSE SENSEX</t>
  </si>
  <si>
    <t>^BSESN</t>
  </si>
  <si>
    <t>^JKSE</t>
  </si>
  <si>
    <t>IDX COMPOSITE</t>
  </si>
  <si>
    <t>^N225</t>
  </si>
  <si>
    <t>Nikkei 225</t>
  </si>
  <si>
    <t>FTSE Bursa Malaysia KLCI</t>
  </si>
  <si>
    <t>^KLSE</t>
  </si>
  <si>
    <t>PSEi INDEX</t>
  </si>
  <si>
    <t>PSEI.PS</t>
  </si>
  <si>
    <t>VanEck Vietnam ETF</t>
  </si>
  <si>
    <t>VNM</t>
  </si>
  <si>
    <t>HNX 30</t>
  </si>
  <si>
    <t>DSE 30</t>
  </si>
  <si>
    <t>Karachi 100</t>
  </si>
  <si>
    <t>^STI</t>
  </si>
  <si>
    <t>FTSE Straits Times Singapore</t>
  </si>
  <si>
    <t>^KS11</t>
  </si>
  <si>
    <t>KOSPI Composite Index</t>
  </si>
  <si>
    <t>^TWII</t>
  </si>
  <si>
    <t>TSEC weighted index</t>
  </si>
  <si>
    <t>^HSI</t>
  </si>
  <si>
    <t>Hang Seng</t>
  </si>
  <si>
    <t>^SET.BK</t>
  </si>
  <si>
    <t>SET</t>
  </si>
  <si>
    <t>Equity index</t>
  </si>
  <si>
    <t>Bond</t>
  </si>
  <si>
    <t>IG</t>
  </si>
  <si>
    <t>HY</t>
  </si>
  <si>
    <t>^TYX</t>
  </si>
  <si>
    <t>^TNX</t>
  </si>
  <si>
    <t>^FVX</t>
  </si>
  <si>
    <t>US 13-Week T-Bill</t>
  </si>
  <si>
    <t>^IRX</t>
  </si>
  <si>
    <t>US 1-Year T-Bill</t>
  </si>
  <si>
    <t>US 2-Year T-Note</t>
  </si>
  <si>
    <t>US 5-Year T-Note</t>
  </si>
  <si>
    <t>US 10-Year T-Note</t>
  </si>
  <si>
    <t>US 30-Year T-Bond</t>
  </si>
  <si>
    <t>G5</t>
  </si>
  <si>
    <t>G20</t>
  </si>
  <si>
    <t>IGLO.L</t>
  </si>
  <si>
    <t>iShares Global Government Bond UCITS ETF USD</t>
  </si>
  <si>
    <t>iShares J.P. Morgan USD Emerging Markets Bond ETF</t>
  </si>
  <si>
    <t>EMB</t>
  </si>
  <si>
    <t>Emerging</t>
  </si>
  <si>
    <t>issuer_type</t>
  </si>
  <si>
    <t>credit_quality</t>
  </si>
  <si>
    <t>Sovereign</t>
  </si>
  <si>
    <t>iShares Global Corp Bond UCITS ETF USD</t>
  </si>
  <si>
    <t>Global</t>
  </si>
  <si>
    <t>Corporate</t>
  </si>
  <si>
    <t>CORP.L</t>
  </si>
  <si>
    <t>iShares Global High Yield Corp Bond UCITS ETF</t>
  </si>
  <si>
    <t>HYLD.L</t>
  </si>
  <si>
    <t>iShares US &amp; Intl High Yield Corp Bond ETF</t>
  </si>
  <si>
    <t>GHYG</t>
  </si>
  <si>
    <t>USIG</t>
  </si>
  <si>
    <t>iShares Broad USD Investment Grade Corporate Bond ETF</t>
  </si>
  <si>
    <t>EURUSD=X</t>
  </si>
  <si>
    <t>EUR/USD</t>
  </si>
  <si>
    <t>domestic_country_or_region</t>
  </si>
  <si>
    <t>foreign_country_or_region</t>
  </si>
  <si>
    <t>Eurozone</t>
  </si>
  <si>
    <t>JPY=X</t>
  </si>
  <si>
    <t>GBPUSD=X</t>
  </si>
  <si>
    <t>CHF=X</t>
  </si>
  <si>
    <t>AUDUSD=X</t>
  </si>
  <si>
    <t>CAD=X</t>
  </si>
  <si>
    <t>CNY=X</t>
  </si>
  <si>
    <t>USD/CNY</t>
  </si>
  <si>
    <t>USD/JPY</t>
  </si>
  <si>
    <t>GBP/USD</t>
  </si>
  <si>
    <t>USD/CHF</t>
  </si>
  <si>
    <t>AUD/USD</t>
  </si>
  <si>
    <t>USD/CAD</t>
  </si>
  <si>
    <t>UK</t>
  </si>
  <si>
    <t>Currency</t>
  </si>
  <si>
    <t>BTC-USD</t>
  </si>
  <si>
    <t>Ethereum</t>
  </si>
  <si>
    <t>Tether</t>
  </si>
  <si>
    <t>Solana</t>
  </si>
  <si>
    <t>BNB</t>
  </si>
  <si>
    <t>Bitwise 10 Crypto Index Fund</t>
  </si>
  <si>
    <t>BITW</t>
  </si>
  <si>
    <t>ETH-USD</t>
  </si>
  <si>
    <t>USDT-USD</t>
  </si>
  <si>
    <t>token_category</t>
  </si>
  <si>
    <t>Payment</t>
  </si>
  <si>
    <t>Exchange</t>
  </si>
  <si>
    <t>Platform</t>
  </si>
  <si>
    <t>Stablecoin</t>
  </si>
  <si>
    <t>Dogecoin</t>
  </si>
  <si>
    <t>Memecoin</t>
  </si>
  <si>
    <t>DOGE-USD</t>
  </si>
  <si>
    <t>BNB-USD</t>
  </si>
  <si>
    <t>SOL-USD</t>
  </si>
  <si>
    <t>commodity_subtype</t>
  </si>
  <si>
    <t>Commodity</t>
  </si>
  <si>
    <t>commodity_category</t>
  </si>
  <si>
    <t>Energy</t>
  </si>
  <si>
    <t>Agricultural</t>
  </si>
  <si>
    <t>Livestock</t>
  </si>
  <si>
    <t>Metals</t>
  </si>
  <si>
    <t>Crude Oil</t>
  </si>
  <si>
    <t>Natural Gas</t>
  </si>
  <si>
    <t>Coal</t>
  </si>
  <si>
    <t>Gold</t>
  </si>
  <si>
    <t>Silver</t>
  </si>
  <si>
    <t>Copper</t>
  </si>
  <si>
    <t>Corn</t>
  </si>
  <si>
    <t>Wheat</t>
  </si>
  <si>
    <t>Soybeans</t>
  </si>
  <si>
    <t>Coffee</t>
  </si>
  <si>
    <t>Sugar</t>
  </si>
  <si>
    <t>Cocoa</t>
  </si>
  <si>
    <t>Palladium</t>
  </si>
  <si>
    <t>Orange Juice</t>
  </si>
  <si>
    <t>Lumber</t>
  </si>
  <si>
    <t>Lean Hogs</t>
  </si>
  <si>
    <t>Live Cattle</t>
  </si>
  <si>
    <t>Precious Metals</t>
  </si>
  <si>
    <t>Base Metals</t>
  </si>
  <si>
    <t>Platinum</t>
  </si>
  <si>
    <t>Aluminium</t>
  </si>
  <si>
    <t>Other Industrial Metals</t>
  </si>
  <si>
    <t>Steel</t>
  </si>
  <si>
    <t>Uranium</t>
  </si>
  <si>
    <t>Gasoline</t>
  </si>
  <si>
    <t>Jet Fuel</t>
  </si>
  <si>
    <t>Diesel</t>
  </si>
  <si>
    <t>Heating Oil</t>
  </si>
  <si>
    <t>Brent Crude</t>
  </si>
  <si>
    <t>WTI Crude</t>
  </si>
  <si>
    <t>Dubai Crude</t>
  </si>
  <si>
    <t>Refined Product</t>
  </si>
  <si>
    <t>Grain</t>
  </si>
  <si>
    <t>Barley</t>
  </si>
  <si>
    <t>Sorghum</t>
  </si>
  <si>
    <t>Oats</t>
  </si>
  <si>
    <t>Oilseeds</t>
  </si>
  <si>
    <t>Rapeseed</t>
  </si>
  <si>
    <t>Sunflower Seeds</t>
  </si>
  <si>
    <t>Palm Oil</t>
  </si>
  <si>
    <t>Pulses</t>
  </si>
  <si>
    <t>Lentils</t>
  </si>
  <si>
    <t>Chickpeas</t>
  </si>
  <si>
    <t>Peas</t>
  </si>
  <si>
    <t>Beans</t>
  </si>
  <si>
    <t>Cattle</t>
  </si>
  <si>
    <t>Feeder Cattle</t>
  </si>
  <si>
    <t>Pork Bellies</t>
  </si>
  <si>
    <t>Hogs</t>
  </si>
  <si>
    <t>Iron Ore</t>
  </si>
  <si>
    <t>Nickel</t>
  </si>
  <si>
    <t>Tropical Commodities</t>
  </si>
  <si>
    <t>Beverage</t>
  </si>
  <si>
    <t>Tea</t>
  </si>
  <si>
    <t>Fiber</t>
  </si>
  <si>
    <t>Cotton</t>
  </si>
  <si>
    <t>Wool</t>
  </si>
  <si>
    <t>Rubber</t>
  </si>
  <si>
    <t>Forestry</t>
  </si>
  <si>
    <t>BZ=F</t>
  </si>
  <si>
    <t>CL=F</t>
  </si>
  <si>
    <t>RB=F</t>
  </si>
  <si>
    <t>HO=F</t>
  </si>
  <si>
    <t>GC=F</t>
  </si>
  <si>
    <t>SI=F</t>
  </si>
  <si>
    <t>PL=F</t>
  </si>
  <si>
    <t>HG=F</t>
  </si>
  <si>
    <t>PA=F</t>
  </si>
  <si>
    <t>NG=F</t>
  </si>
  <si>
    <t>ZC=F</t>
  </si>
  <si>
    <t>ZO=F</t>
  </si>
  <si>
    <t>KE=F</t>
  </si>
  <si>
    <t>Rough Rice</t>
  </si>
  <si>
    <t>ZR=F</t>
  </si>
  <si>
    <t>ZL=F</t>
  </si>
  <si>
    <t>HE=F</t>
  </si>
  <si>
    <t>LE=F</t>
  </si>
  <si>
    <t>CC=F</t>
  </si>
  <si>
    <t>KC=F</t>
  </si>
  <si>
    <t>CT=F</t>
  </si>
  <si>
    <t>OJ=F</t>
  </si>
  <si>
    <t>SB=F</t>
  </si>
  <si>
    <t>maturity</t>
  </si>
  <si>
    <t>economic_power_region</t>
  </si>
  <si>
    <t>Export all sheets to CSV</t>
  </si>
  <si>
    <t>TEDPIX</t>
  </si>
  <si>
    <t>Bund</t>
  </si>
  <si>
    <t>JGB</t>
  </si>
  <si>
    <t>Gilt</t>
  </si>
  <si>
    <t>OAT</t>
  </si>
  <si>
    <t>BTP</t>
  </si>
  <si>
    <t>GoCBond</t>
  </si>
  <si>
    <t>CGB</t>
  </si>
  <si>
    <t>KTB</t>
  </si>
  <si>
    <t>AGB</t>
  </si>
  <si>
    <t>Cryptocurrency</t>
  </si>
  <si>
    <t>Equity ETF</t>
  </si>
  <si>
    <t>Bond ETF</t>
  </si>
  <si>
    <t>Cryptocurrency ETF</t>
  </si>
  <si>
    <t>ICOLCAP.CL</t>
  </si>
  <si>
    <t>asset class</t>
  </si>
  <si>
    <t>equity</t>
  </si>
  <si>
    <t>bond</t>
  </si>
  <si>
    <t>forex</t>
  </si>
  <si>
    <t>cryptocurrency</t>
  </si>
  <si>
    <t>commodity</t>
  </si>
  <si>
    <t>Total</t>
  </si>
  <si>
    <t>Bitcoin</t>
  </si>
  <si>
    <t>Fondo Bursatil iShares MSCI COLCAP</t>
  </si>
  <si>
    <t>^OMXC25</t>
  </si>
  <si>
    <t>OMX Copenhagen 25</t>
  </si>
  <si>
    <t>count ticker not null</t>
  </si>
  <si>
    <t>count names</t>
  </si>
  <si>
    <t>Northern Europe</t>
  </si>
  <si>
    <t>Western Europe</t>
  </si>
  <si>
    <t>Southern Europe</t>
  </si>
  <si>
    <t>East Asia</t>
  </si>
  <si>
    <t>ACWI</t>
  </si>
  <si>
    <t>iShares MSCI ACWI ETF</t>
  </si>
  <si>
    <t>World</t>
  </si>
  <si>
    <t>Developed</t>
  </si>
  <si>
    <t>XWD.TO</t>
  </si>
  <si>
    <t>iShares MSCI World Index ETF</t>
  </si>
  <si>
    <t>MME=F</t>
  </si>
  <si>
    <t>MSCI Emerging Markets Index Fut</t>
  </si>
  <si>
    <t>Equity Index</t>
  </si>
  <si>
    <t>ASEAN + India</t>
  </si>
  <si>
    <t>^IXIC</t>
  </si>
  <si>
    <t>NASDAQ</t>
  </si>
  <si>
    <t>399001.SZ</t>
  </si>
  <si>
    <t>Shenzhen Index</t>
  </si>
  <si>
    <t>top_15_stock_markets</t>
  </si>
  <si>
    <t>LSE</t>
  </si>
  <si>
    <t>CME</t>
  </si>
  <si>
    <t>CBOE</t>
  </si>
  <si>
    <t>exchange</t>
  </si>
  <si>
    <t>BMV</t>
  </si>
  <si>
    <t>TSX</t>
  </si>
  <si>
    <t>ASX</t>
  </si>
  <si>
    <t>Euronext Paris</t>
  </si>
  <si>
    <t>Xetra</t>
  </si>
  <si>
    <t>SSE</t>
  </si>
  <si>
    <t>SZSE</t>
  </si>
  <si>
    <t>NSE</t>
  </si>
  <si>
    <t>TSE</t>
  </si>
  <si>
    <t>KRX</t>
  </si>
  <si>
    <t>HKEX</t>
  </si>
  <si>
    <t>Tadawul</t>
  </si>
  <si>
    <t>NYMEX</t>
  </si>
  <si>
    <t>CBOT</t>
  </si>
  <si>
    <t>COMEX</t>
  </si>
  <si>
    <t>ICE</t>
  </si>
  <si>
    <t>FTSEMIB.MI</t>
  </si>
  <si>
    <t>FTS EMIB</t>
  </si>
  <si>
    <t>base</t>
  </si>
  <si>
    <t>foreign</t>
  </si>
  <si>
    <t>EUR</t>
  </si>
  <si>
    <t>JPY</t>
  </si>
  <si>
    <t>GBP</t>
  </si>
  <si>
    <t>CHF</t>
  </si>
  <si>
    <t>AUD</t>
  </si>
  <si>
    <t>CAD</t>
  </si>
  <si>
    <t>CNY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</si>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</sst>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CCCC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wrapText="1"/>
    </xf>
    <xf numFmtId="0" fontId="3" fillId="3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0" fillId="9" borderId="0" xfId="0" applyFill="1" applyAlignment="1">
      <alignment horizontal="left"/>
    </xf>
    <xf numFmtId="0" fontId="2" fillId="0" borderId="1" xfId="0" applyFont="1" applyBorder="1"/>
    <xf numFmtId="0" fontId="4" fillId="0" borderId="1" xfId="0" applyFont="1" applyBorder="1"/>
    <xf numFmtId="0" fontId="0" fillId="9" borderId="0" xfId="0" applyFill="1"/>
    <xf numFmtId="0" fontId="0" fillId="5" borderId="0" xfId="0" applyFill="1"/>
    <xf numFmtId="0" fontId="0" fillId="5" borderId="0" xfId="0" applyFill="1" applyAlignment="1">
      <alignment vertical="center"/>
    </xf>
    <xf numFmtId="0" fontId="0" fillId="10" borderId="0" xfId="0" applyFill="1"/>
    <xf numFmtId="0" fontId="0" fillId="3" borderId="0" xfId="0" applyFill="1"/>
    <xf numFmtId="0" fontId="0" fillId="6" borderId="0" xfId="0" applyFill="1"/>
    <xf numFmtId="0" fontId="0" fillId="11" borderId="0" xfId="0" applyFill="1"/>
    <xf numFmtId="0" fontId="0" fillId="2" borderId="0" xfId="0" applyFill="1"/>
    <xf numFmtId="0" fontId="8" fillId="0" borderId="0" xfId="0" applyFont="1"/>
    <xf numFmtId="0" fontId="2" fillId="12" borderId="1" xfId="0" applyFont="1" applyFill="1" applyBorder="1"/>
    <xf numFmtId="0" fontId="0" fillId="13" borderId="0" xfId="0" applyFill="1" applyAlignment="1">
      <alignment horizontal="left"/>
    </xf>
    <xf numFmtId="0" fontId="3" fillId="13" borderId="0" xfId="0" applyFont="1" applyFill="1" applyAlignment="1">
      <alignment horizontal="left"/>
    </xf>
    <xf numFmtId="0" fontId="3" fillId="14" borderId="0" xfId="0" applyFont="1" applyFill="1" applyAlignment="1">
      <alignment horizontal="left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CC00"/>
      <color rgb="FFCCFF66"/>
      <color rgb="FF66FFCC"/>
      <color rgb="FFFFFF99"/>
      <color rgb="FFFFC9C9"/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AllSheets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DBA5E4FC-0730-E3DF-2C0E-620A8043D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FA75-FAEC-4BE9-AE63-B8177A283868}">
  <sheetPr codeName="Sheet5">
    <tabColor rgb="FFFF0000"/>
  </sheetPr>
  <dimension ref="B4"/>
  <sheetViews>
    <sheetView tabSelected="1" workbookViewId="0">
      <selection activeCell="B4" sqref="B4"/>
    </sheetView>
  </sheetViews>
  <sheetFormatPr defaultColWidth="9.109375" defaultRowHeight="14.4" x14ac:dyDescent="0.3"/>
  <cols>
    <col min="1" max="1" width="3.33203125" style="27" customWidth="1"/>
    <col min="2" max="2" width="21.5546875" style="27" bestFit="1" customWidth="1"/>
    <col min="3" max="16384" width="9.109375" style="27"/>
  </cols>
  <sheetData>
    <row r="4" spans="2:2" x14ac:dyDescent="0.3">
      <c r="B4" s="28" t="s">
        <v>355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9AFE-8D26-411F-8EA3-9C5D81214E5B}">
  <sheetPr codeName="Sheet9">
    <tabColor theme="6" tint="0.39997558519241921"/>
  </sheetPr>
  <dimension ref="B2:D8"/>
  <sheetViews>
    <sheetView workbookViewId="0">
      <selection activeCell="C3" sqref="C3"/>
    </sheetView>
  </sheetViews>
  <sheetFormatPr defaultRowHeight="14.4" x14ac:dyDescent="0.3"/>
  <cols>
    <col min="2" max="2" width="14.109375" bestFit="1" customWidth="1"/>
    <col min="3" max="3" width="19.33203125" bestFit="1" customWidth="1"/>
    <col min="4" max="4" width="12.5546875" bestFit="1" customWidth="1"/>
  </cols>
  <sheetData>
    <row r="2" spans="2:4" x14ac:dyDescent="0.3">
      <c r="B2" s="30" t="s">
        <v>371</v>
      </c>
      <c r="C2" s="30" t="s">
        <v>382</v>
      </c>
      <c r="D2" s="30" t="s">
        <v>383</v>
      </c>
    </row>
    <row r="3" spans="2:4" x14ac:dyDescent="0.3">
      <c r="B3" t="s">
        <v>372</v>
      </c>
      <c r="C3">
        <f ca="1">COUNTA(INDIRECT("'" &amp; B3 &amp; "'!B:B")) - 1</f>
        <v>53</v>
      </c>
      <c r="D3">
        <f ca="1">COUNTA(INDIRECT("'" &amp; B3 &amp; "'!C:C")) - 1</f>
        <v>70</v>
      </c>
    </row>
    <row r="4" spans="2:4" x14ac:dyDescent="0.3">
      <c r="B4" t="s">
        <v>373</v>
      </c>
      <c r="C4">
        <f ca="1">COUNTA(INDIRECT("'" &amp; B4 &amp; "'!B:B")) - 1</f>
        <v>10</v>
      </c>
      <c r="D4">
        <f t="shared" ref="D4:D7" ca="1" si="0">COUNTA(INDIRECT("'" &amp; B4 &amp; "'!C:C")) - 1</f>
        <v>21</v>
      </c>
    </row>
    <row r="5" spans="2:4" x14ac:dyDescent="0.3">
      <c r="B5" t="s">
        <v>374</v>
      </c>
      <c r="C5">
        <f t="shared" ref="C5:C6" ca="1" si="1">COUNTA(INDIRECT("'" &amp; B5 &amp; "'!B:B")) - 1</f>
        <v>7</v>
      </c>
      <c r="D5">
        <f t="shared" ca="1" si="0"/>
        <v>7</v>
      </c>
    </row>
    <row r="6" spans="2:4" x14ac:dyDescent="0.3">
      <c r="B6" t="s">
        <v>375</v>
      </c>
      <c r="C6">
        <f t="shared" ca="1" si="1"/>
        <v>7</v>
      </c>
      <c r="D6">
        <f t="shared" ca="1" si="0"/>
        <v>7</v>
      </c>
    </row>
    <row r="7" spans="2:4" x14ac:dyDescent="0.3">
      <c r="B7" t="s">
        <v>376</v>
      </c>
      <c r="C7">
        <f ca="1">COUNTA(INDIRECT("'" &amp; B7 &amp; "'!B:B")) - 1</f>
        <v>22</v>
      </c>
      <c r="D7">
        <f t="shared" ca="1" si="0"/>
        <v>46</v>
      </c>
    </row>
    <row r="8" spans="2:4" x14ac:dyDescent="0.3">
      <c r="B8" s="29" t="s">
        <v>377</v>
      </c>
      <c r="C8" s="29">
        <f ca="1">SUM(C3:C7)</f>
        <v>99</v>
      </c>
      <c r="D8" s="29">
        <f ca="1">SUM(D3:D7)</f>
        <v>151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4C5FA-5C50-476D-8CF0-1CA17B281F19}">
  <sheetPr codeName="Sheet1">
    <tabColor theme="5" tint="0.79998168889431442"/>
  </sheetPr>
  <dimension ref="A1:K71"/>
  <sheetViews>
    <sheetView topLeftCell="A4" zoomScale="85" zoomScaleNormal="85" workbookViewId="0">
      <selection activeCell="E19" sqref="E19"/>
    </sheetView>
  </sheetViews>
  <sheetFormatPr defaultColWidth="8.88671875" defaultRowHeight="14.4" x14ac:dyDescent="0.3"/>
  <cols>
    <col min="1" max="1" width="16.5546875" style="8" bestFit="1" customWidth="1"/>
    <col min="2" max="2" width="11.33203125" style="9" bestFit="1" customWidth="1"/>
    <col min="3" max="3" width="33.5546875" style="9" bestFit="1" customWidth="1"/>
    <col min="4" max="4" width="19.6640625" style="9" bestFit="1" customWidth="1"/>
    <col min="5" max="5" width="13.88671875" style="9" bestFit="1" customWidth="1"/>
    <col min="6" max="6" width="15.5546875" style="9" bestFit="1" customWidth="1"/>
    <col min="7" max="7" width="19.109375" style="9" bestFit="1" customWidth="1"/>
    <col min="8" max="8" width="23.33203125" style="9" bestFit="1" customWidth="1"/>
    <col min="9" max="9" width="12.33203125" style="8" bestFit="1" customWidth="1"/>
    <col min="10" max="10" width="20.109375" style="8" bestFit="1" customWidth="1"/>
    <col min="11" max="11" width="12.88671875" style="8" bestFit="1" customWidth="1"/>
    <col min="12" max="16384" width="8.88671875" style="8"/>
  </cols>
  <sheetData>
    <row r="1" spans="1:1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37</v>
      </c>
      <c r="G1" s="16" t="s">
        <v>11</v>
      </c>
      <c r="H1" s="16" t="s">
        <v>3</v>
      </c>
      <c r="I1" s="15" t="s">
        <v>14</v>
      </c>
      <c r="J1" s="15" t="s">
        <v>402</v>
      </c>
      <c r="K1" s="15" t="s">
        <v>406</v>
      </c>
    </row>
    <row r="2" spans="1:11" x14ac:dyDescent="0.3">
      <c r="A2" s="2" t="s">
        <v>192</v>
      </c>
      <c r="B2" s="2" t="s">
        <v>20</v>
      </c>
      <c r="C2" s="2" t="s">
        <v>19</v>
      </c>
      <c r="D2" s="2" t="s">
        <v>7</v>
      </c>
      <c r="E2" s="2" t="s">
        <v>17</v>
      </c>
      <c r="F2" s="2"/>
      <c r="G2" s="2" t="s">
        <v>0</v>
      </c>
      <c r="H2" s="2">
        <v>86</v>
      </c>
      <c r="I2" s="2" t="s">
        <v>15</v>
      </c>
      <c r="J2" s="2"/>
      <c r="K2" s="2"/>
    </row>
    <row r="3" spans="1:11" x14ac:dyDescent="0.3">
      <c r="A3" s="2" t="s">
        <v>192</v>
      </c>
      <c r="B3" s="2" t="s">
        <v>22</v>
      </c>
      <c r="C3" s="3" t="s">
        <v>21</v>
      </c>
      <c r="D3" s="2" t="s">
        <v>8</v>
      </c>
      <c r="E3" s="2" t="s">
        <v>17</v>
      </c>
      <c r="F3" s="2"/>
      <c r="G3" s="2" t="s">
        <v>0</v>
      </c>
      <c r="H3" s="2">
        <v>22</v>
      </c>
      <c r="I3" s="2" t="s">
        <v>15</v>
      </c>
      <c r="J3" s="2"/>
      <c r="K3" s="2"/>
    </row>
    <row r="4" spans="1:11" x14ac:dyDescent="0.3">
      <c r="A4" s="2" t="s">
        <v>192</v>
      </c>
      <c r="B4" s="2"/>
      <c r="C4" s="2" t="s">
        <v>23</v>
      </c>
      <c r="D4" s="2" t="s">
        <v>12</v>
      </c>
      <c r="E4" s="2" t="s">
        <v>17</v>
      </c>
      <c r="F4" s="2"/>
      <c r="G4" s="2" t="s">
        <v>0</v>
      </c>
      <c r="H4" s="2">
        <v>25</v>
      </c>
      <c r="I4" s="2"/>
      <c r="J4" s="2"/>
      <c r="K4" s="2"/>
    </row>
    <row r="5" spans="1:11" x14ac:dyDescent="0.3">
      <c r="A5" s="2" t="s">
        <v>367</v>
      </c>
      <c r="B5" s="2" t="s">
        <v>370</v>
      </c>
      <c r="C5" s="2" t="s">
        <v>379</v>
      </c>
      <c r="D5" s="2" t="s">
        <v>12</v>
      </c>
      <c r="E5" s="2" t="s">
        <v>17</v>
      </c>
      <c r="F5" s="2"/>
      <c r="G5" s="2" t="s">
        <v>0</v>
      </c>
      <c r="H5" s="2"/>
      <c r="I5" s="2" t="s">
        <v>15</v>
      </c>
      <c r="J5" s="2"/>
      <c r="K5" s="2"/>
    </row>
    <row r="6" spans="1:11" x14ac:dyDescent="0.3">
      <c r="A6" s="2" t="s">
        <v>192</v>
      </c>
      <c r="B6" s="2"/>
      <c r="C6" s="2" t="s">
        <v>24</v>
      </c>
      <c r="D6" s="2" t="s">
        <v>10</v>
      </c>
      <c r="E6" s="2" t="s">
        <v>17</v>
      </c>
      <c r="F6" s="2"/>
      <c r="G6" s="2" t="s">
        <v>0</v>
      </c>
      <c r="H6" s="2">
        <v>28</v>
      </c>
      <c r="I6" s="2"/>
      <c r="J6" s="2"/>
      <c r="K6" s="2"/>
    </row>
    <row r="7" spans="1:11" x14ac:dyDescent="0.3">
      <c r="A7" s="2" t="s">
        <v>367</v>
      </c>
      <c r="B7" s="2" t="s">
        <v>151</v>
      </c>
      <c r="C7" s="2" t="s">
        <v>150</v>
      </c>
      <c r="D7" s="2" t="s">
        <v>10</v>
      </c>
      <c r="E7" s="2" t="s">
        <v>17</v>
      </c>
      <c r="F7" s="2"/>
      <c r="G7" s="2" t="s">
        <v>0</v>
      </c>
      <c r="H7" s="2"/>
      <c r="I7" s="2" t="s">
        <v>15</v>
      </c>
      <c r="J7" s="2"/>
      <c r="K7" s="2"/>
    </row>
    <row r="8" spans="1:11" x14ac:dyDescent="0.3">
      <c r="A8" s="2" t="s">
        <v>192</v>
      </c>
      <c r="B8" s="2" t="s">
        <v>1</v>
      </c>
      <c r="C8" s="2" t="s">
        <v>18</v>
      </c>
      <c r="D8" s="2" t="s">
        <v>2</v>
      </c>
      <c r="E8" s="2" t="s">
        <v>16</v>
      </c>
      <c r="F8" s="2"/>
      <c r="G8" s="2" t="s">
        <v>0</v>
      </c>
      <c r="H8" s="2">
        <v>35</v>
      </c>
      <c r="I8" s="2" t="s">
        <v>15</v>
      </c>
      <c r="J8" s="2" t="b">
        <v>1</v>
      </c>
      <c r="K8" s="2" t="s">
        <v>407</v>
      </c>
    </row>
    <row r="9" spans="1:11" x14ac:dyDescent="0.3">
      <c r="A9" s="4" t="s">
        <v>192</v>
      </c>
      <c r="B9" s="4" t="s">
        <v>94</v>
      </c>
      <c r="C9" s="4" t="s">
        <v>95</v>
      </c>
      <c r="D9" s="4" t="s">
        <v>25</v>
      </c>
      <c r="E9" s="4" t="s">
        <v>16</v>
      </c>
      <c r="F9" s="4"/>
      <c r="G9" s="4" t="s">
        <v>16</v>
      </c>
      <c r="H9" s="4">
        <v>503</v>
      </c>
      <c r="I9" s="4" t="s">
        <v>15</v>
      </c>
      <c r="J9" s="4" t="b">
        <v>1</v>
      </c>
      <c r="K9" s="4" t="s">
        <v>399</v>
      </c>
    </row>
    <row r="10" spans="1:11" x14ac:dyDescent="0.3">
      <c r="A10" s="4" t="s">
        <v>192</v>
      </c>
      <c r="B10" s="4" t="s">
        <v>398</v>
      </c>
      <c r="C10" s="4" t="s">
        <v>399</v>
      </c>
      <c r="D10" s="4" t="s">
        <v>25</v>
      </c>
      <c r="E10" s="4" t="s">
        <v>16</v>
      </c>
      <c r="F10" s="4"/>
      <c r="G10" s="4" t="s">
        <v>16</v>
      </c>
      <c r="H10" s="4">
        <v>3330</v>
      </c>
      <c r="I10" s="4" t="s">
        <v>15</v>
      </c>
      <c r="J10" s="4" t="b">
        <v>1</v>
      </c>
      <c r="K10" s="4" t="s">
        <v>399</v>
      </c>
    </row>
    <row r="11" spans="1:11" x14ac:dyDescent="0.3">
      <c r="A11" s="4" t="s">
        <v>192</v>
      </c>
      <c r="B11" s="4" t="s">
        <v>96</v>
      </c>
      <c r="C11" s="4" t="s">
        <v>97</v>
      </c>
      <c r="D11" s="4" t="s">
        <v>26</v>
      </c>
      <c r="E11" s="4" t="s">
        <v>16</v>
      </c>
      <c r="F11" s="4"/>
      <c r="G11" s="4" t="s">
        <v>16</v>
      </c>
      <c r="H11" s="4">
        <v>222</v>
      </c>
      <c r="I11" s="4" t="s">
        <v>15</v>
      </c>
      <c r="J11" s="4" t="b">
        <v>1</v>
      </c>
      <c r="K11" s="4" t="s">
        <v>408</v>
      </c>
    </row>
    <row r="12" spans="1:11" x14ac:dyDescent="0.3">
      <c r="A12" s="5" t="s">
        <v>192</v>
      </c>
      <c r="B12" s="5" t="s">
        <v>99</v>
      </c>
      <c r="C12" s="5" t="s">
        <v>98</v>
      </c>
      <c r="D12" s="5" t="s">
        <v>29</v>
      </c>
      <c r="E12" s="5" t="s">
        <v>27</v>
      </c>
      <c r="F12" s="5"/>
      <c r="G12" s="5" t="s">
        <v>28</v>
      </c>
      <c r="H12" s="5">
        <v>200</v>
      </c>
      <c r="I12" s="5" t="s">
        <v>15</v>
      </c>
      <c r="J12" s="5" t="b">
        <v>1</v>
      </c>
      <c r="K12" s="5" t="s">
        <v>409</v>
      </c>
    </row>
    <row r="13" spans="1:11" x14ac:dyDescent="0.3">
      <c r="A13" s="5" t="s">
        <v>192</v>
      </c>
      <c r="B13" s="5" t="s">
        <v>101</v>
      </c>
      <c r="C13" s="5" t="s">
        <v>100</v>
      </c>
      <c r="D13" s="5" t="s">
        <v>32</v>
      </c>
      <c r="E13" s="5" t="s">
        <v>27</v>
      </c>
      <c r="F13" s="5"/>
      <c r="G13" s="5" t="s">
        <v>28</v>
      </c>
      <c r="H13" s="5">
        <v>50</v>
      </c>
      <c r="I13" s="5" t="s">
        <v>15</v>
      </c>
      <c r="J13" s="5"/>
      <c r="K13" s="5"/>
    </row>
    <row r="14" spans="1:11" x14ac:dyDescent="0.3">
      <c r="A14" s="6" t="s">
        <v>192</v>
      </c>
      <c r="B14" s="6"/>
      <c r="C14" s="6" t="s">
        <v>102</v>
      </c>
      <c r="D14" s="6" t="s">
        <v>31</v>
      </c>
      <c r="E14" s="6" t="s">
        <v>30</v>
      </c>
      <c r="F14" s="6" t="s">
        <v>38</v>
      </c>
      <c r="G14" s="6" t="s">
        <v>30</v>
      </c>
      <c r="H14" s="6"/>
      <c r="I14" s="6"/>
      <c r="J14" s="6"/>
      <c r="K14" s="6"/>
    </row>
    <row r="15" spans="1:11" x14ac:dyDescent="0.3">
      <c r="A15" s="6" t="s">
        <v>192</v>
      </c>
      <c r="B15" s="6"/>
      <c r="C15" s="6" t="s">
        <v>103</v>
      </c>
      <c r="D15" s="6" t="s">
        <v>33</v>
      </c>
      <c r="E15" s="6" t="s">
        <v>30</v>
      </c>
      <c r="F15" s="6" t="s">
        <v>39</v>
      </c>
      <c r="G15" s="6" t="s">
        <v>30</v>
      </c>
      <c r="H15" s="6"/>
      <c r="I15" s="6"/>
      <c r="J15" s="6"/>
      <c r="K15" s="6"/>
    </row>
    <row r="16" spans="1:11" x14ac:dyDescent="0.3">
      <c r="A16" s="6" t="s">
        <v>192</v>
      </c>
      <c r="B16" s="6"/>
      <c r="C16" s="6" t="s">
        <v>104</v>
      </c>
      <c r="D16" s="6" t="s">
        <v>34</v>
      </c>
      <c r="E16" s="6" t="s">
        <v>30</v>
      </c>
      <c r="F16" s="6"/>
      <c r="G16" s="6" t="s">
        <v>30</v>
      </c>
      <c r="H16" s="6"/>
      <c r="I16" s="6"/>
      <c r="J16" s="6"/>
      <c r="K16" s="6"/>
    </row>
    <row r="17" spans="1:11" x14ac:dyDescent="0.3">
      <c r="A17" s="6" t="s">
        <v>192</v>
      </c>
      <c r="B17" s="6"/>
      <c r="C17" s="6" t="s">
        <v>105</v>
      </c>
      <c r="D17" s="6" t="s">
        <v>35</v>
      </c>
      <c r="E17" s="6" t="s">
        <v>30</v>
      </c>
      <c r="F17" s="6"/>
      <c r="G17" s="6" t="s">
        <v>30</v>
      </c>
      <c r="H17" s="6"/>
      <c r="I17" s="6"/>
      <c r="J17" s="6"/>
      <c r="K17" s="6"/>
    </row>
    <row r="18" spans="1:11" x14ac:dyDescent="0.3">
      <c r="A18" s="6" t="s">
        <v>367</v>
      </c>
      <c r="B18" s="6" t="s">
        <v>117</v>
      </c>
      <c r="C18" s="6" t="s">
        <v>116</v>
      </c>
      <c r="D18" s="6" t="s">
        <v>35</v>
      </c>
      <c r="E18" s="6" t="s">
        <v>30</v>
      </c>
      <c r="F18" s="6"/>
      <c r="G18" s="6" t="s">
        <v>30</v>
      </c>
      <c r="H18" s="6"/>
      <c r="I18" s="6" t="s">
        <v>15</v>
      </c>
      <c r="J18" s="6"/>
      <c r="K18" s="6"/>
    </row>
    <row r="19" spans="1:11" x14ac:dyDescent="0.3">
      <c r="A19" s="6" t="s">
        <v>192</v>
      </c>
      <c r="B19" s="6"/>
      <c r="C19" s="6" t="s">
        <v>108</v>
      </c>
      <c r="D19" s="6" t="s">
        <v>36</v>
      </c>
      <c r="E19" s="6" t="s">
        <v>30</v>
      </c>
      <c r="F19" s="6" t="s">
        <v>38</v>
      </c>
      <c r="G19" s="6" t="s">
        <v>30</v>
      </c>
      <c r="H19" s="6"/>
      <c r="I19" s="6"/>
      <c r="J19" s="6"/>
      <c r="K19" s="6"/>
    </row>
    <row r="20" spans="1:11" x14ac:dyDescent="0.3">
      <c r="A20" s="7" t="s">
        <v>192</v>
      </c>
      <c r="B20" s="7" t="s">
        <v>110</v>
      </c>
      <c r="C20" s="7" t="s">
        <v>109</v>
      </c>
      <c r="D20" s="7" t="s">
        <v>40</v>
      </c>
      <c r="E20" s="7" t="s">
        <v>62</v>
      </c>
      <c r="F20" s="7" t="s">
        <v>63</v>
      </c>
      <c r="G20" s="7" t="s">
        <v>385</v>
      </c>
      <c r="H20" s="7">
        <v>20</v>
      </c>
      <c r="I20" s="7" t="s">
        <v>15</v>
      </c>
      <c r="J20" s="7"/>
      <c r="K20" s="7"/>
    </row>
    <row r="21" spans="1:11" x14ac:dyDescent="0.3">
      <c r="A21" s="7" t="s">
        <v>192</v>
      </c>
      <c r="B21" s="7" t="s">
        <v>111</v>
      </c>
      <c r="C21" s="7" t="s">
        <v>112</v>
      </c>
      <c r="D21" s="7" t="s">
        <v>41</v>
      </c>
      <c r="E21" s="7" t="s">
        <v>62</v>
      </c>
      <c r="F21" s="7" t="s">
        <v>64</v>
      </c>
      <c r="G21" s="7" t="s">
        <v>385</v>
      </c>
      <c r="H21" s="7">
        <v>20</v>
      </c>
      <c r="I21" s="7" t="s">
        <v>15</v>
      </c>
      <c r="J21" s="7"/>
      <c r="K21" s="7"/>
    </row>
    <row r="22" spans="1:11" x14ac:dyDescent="0.3">
      <c r="A22" s="7" t="s">
        <v>192</v>
      </c>
      <c r="B22" s="7"/>
      <c r="C22" s="7" t="s">
        <v>115</v>
      </c>
      <c r="D22" s="7" t="s">
        <v>42</v>
      </c>
      <c r="E22" s="7" t="s">
        <v>62</v>
      </c>
      <c r="F22" s="7" t="s">
        <v>65</v>
      </c>
      <c r="G22" s="7" t="s">
        <v>65</v>
      </c>
      <c r="H22" s="7">
        <v>11</v>
      </c>
      <c r="I22" s="7"/>
      <c r="J22" s="7"/>
      <c r="K22" s="7"/>
    </row>
    <row r="23" spans="1:11" x14ac:dyDescent="0.3">
      <c r="A23" s="7" t="s">
        <v>367</v>
      </c>
      <c r="B23" s="7" t="s">
        <v>114</v>
      </c>
      <c r="C23" s="7" t="s">
        <v>113</v>
      </c>
      <c r="D23" s="7" t="s">
        <v>42</v>
      </c>
      <c r="E23" s="7" t="s">
        <v>62</v>
      </c>
      <c r="F23" s="7" t="s">
        <v>65</v>
      </c>
      <c r="G23" s="7" t="s">
        <v>65</v>
      </c>
      <c r="H23" s="7"/>
      <c r="I23" s="7" t="s">
        <v>15</v>
      </c>
      <c r="J23" s="7"/>
      <c r="K23" s="7"/>
    </row>
    <row r="24" spans="1:11" x14ac:dyDescent="0.3">
      <c r="A24" s="7" t="s">
        <v>192</v>
      </c>
      <c r="B24" s="7" t="s">
        <v>380</v>
      </c>
      <c r="C24" s="7" t="s">
        <v>381</v>
      </c>
      <c r="D24" s="7" t="s">
        <v>43</v>
      </c>
      <c r="E24" s="7" t="s">
        <v>62</v>
      </c>
      <c r="F24" s="7" t="s">
        <v>66</v>
      </c>
      <c r="G24" s="7" t="s">
        <v>384</v>
      </c>
      <c r="H24" s="7">
        <v>20</v>
      </c>
      <c r="I24" s="7" t="s">
        <v>15</v>
      </c>
      <c r="J24" s="7"/>
      <c r="K24" s="7"/>
    </row>
    <row r="25" spans="1:11" x14ac:dyDescent="0.3">
      <c r="A25" s="7" t="s">
        <v>192</v>
      </c>
      <c r="B25" s="7" t="s">
        <v>118</v>
      </c>
      <c r="C25" s="7" t="s">
        <v>119</v>
      </c>
      <c r="D25" s="7" t="s">
        <v>44</v>
      </c>
      <c r="E25" s="7" t="s">
        <v>62</v>
      </c>
      <c r="F25" s="7" t="s">
        <v>66</v>
      </c>
      <c r="G25" s="7" t="s">
        <v>384</v>
      </c>
      <c r="H25" s="7">
        <v>25</v>
      </c>
      <c r="I25" s="7" t="s">
        <v>15</v>
      </c>
      <c r="J25" s="7"/>
      <c r="K25" s="7"/>
    </row>
    <row r="26" spans="1:11" x14ac:dyDescent="0.3">
      <c r="A26" s="7" t="s">
        <v>192</v>
      </c>
      <c r="B26" s="7" t="s">
        <v>120</v>
      </c>
      <c r="C26" s="7" t="s">
        <v>121</v>
      </c>
      <c r="D26" s="7" t="s">
        <v>45</v>
      </c>
      <c r="E26" s="7" t="s">
        <v>62</v>
      </c>
      <c r="F26" s="7"/>
      <c r="G26" s="7" t="s">
        <v>385</v>
      </c>
      <c r="H26" s="7">
        <v>40</v>
      </c>
      <c r="I26" s="7" t="s">
        <v>15</v>
      </c>
      <c r="J26" s="7" t="b">
        <v>1</v>
      </c>
      <c r="K26" s="7" t="s">
        <v>410</v>
      </c>
    </row>
    <row r="27" spans="1:11" x14ac:dyDescent="0.3">
      <c r="A27" s="7" t="s">
        <v>192</v>
      </c>
      <c r="B27" s="7" t="s">
        <v>123</v>
      </c>
      <c r="C27" s="7" t="s">
        <v>122</v>
      </c>
      <c r="D27" s="7" t="s">
        <v>46</v>
      </c>
      <c r="E27" s="7" t="s">
        <v>62</v>
      </c>
      <c r="F27" s="7" t="s">
        <v>64</v>
      </c>
      <c r="G27" s="7" t="s">
        <v>385</v>
      </c>
      <c r="H27" s="7">
        <v>40</v>
      </c>
      <c r="I27" s="7" t="s">
        <v>15</v>
      </c>
      <c r="J27" s="7" t="b">
        <v>1</v>
      </c>
      <c r="K27" s="7" t="s">
        <v>411</v>
      </c>
    </row>
    <row r="28" spans="1:11" x14ac:dyDescent="0.3">
      <c r="A28" s="7" t="s">
        <v>192</v>
      </c>
      <c r="B28" s="7" t="s">
        <v>124</v>
      </c>
      <c r="C28" s="7" t="s">
        <v>125</v>
      </c>
      <c r="D28" s="7" t="s">
        <v>47</v>
      </c>
      <c r="E28" s="7" t="s">
        <v>62</v>
      </c>
      <c r="F28" s="7" t="s">
        <v>68</v>
      </c>
      <c r="G28" s="7" t="s">
        <v>386</v>
      </c>
      <c r="H28" s="7">
        <v>61</v>
      </c>
      <c r="I28" s="7" t="s">
        <v>15</v>
      </c>
      <c r="J28" s="7"/>
      <c r="K28" s="7"/>
    </row>
    <row r="29" spans="1:11" x14ac:dyDescent="0.3">
      <c r="A29" s="7" t="s">
        <v>192</v>
      </c>
      <c r="B29" s="7" t="s">
        <v>127</v>
      </c>
      <c r="C29" s="7" t="s">
        <v>126</v>
      </c>
      <c r="D29" s="7" t="s">
        <v>48</v>
      </c>
      <c r="E29" s="7" t="s">
        <v>62</v>
      </c>
      <c r="F29" s="7" t="s">
        <v>65</v>
      </c>
      <c r="G29" s="7" t="s">
        <v>65</v>
      </c>
      <c r="H29" s="7">
        <v>9</v>
      </c>
      <c r="I29" s="7" t="s">
        <v>15</v>
      </c>
      <c r="J29" s="7"/>
      <c r="K29" s="7"/>
    </row>
    <row r="30" spans="1:11" x14ac:dyDescent="0.3">
      <c r="A30" s="7" t="s">
        <v>192</v>
      </c>
      <c r="B30" s="7" t="s">
        <v>129</v>
      </c>
      <c r="C30" s="7" t="s">
        <v>128</v>
      </c>
      <c r="D30" s="7" t="s">
        <v>49</v>
      </c>
      <c r="E30" s="7" t="s">
        <v>62</v>
      </c>
      <c r="F30" s="7" t="s">
        <v>67</v>
      </c>
      <c r="G30" s="7" t="s">
        <v>384</v>
      </c>
      <c r="H30" s="7">
        <v>25</v>
      </c>
      <c r="I30" s="7" t="s">
        <v>15</v>
      </c>
      <c r="J30" s="7"/>
      <c r="K30" s="7"/>
    </row>
    <row r="31" spans="1:11" x14ac:dyDescent="0.3">
      <c r="A31" s="7" t="s">
        <v>192</v>
      </c>
      <c r="B31" s="7" t="s">
        <v>423</v>
      </c>
      <c r="C31" s="7" t="s">
        <v>424</v>
      </c>
      <c r="D31" s="7" t="s">
        <v>50</v>
      </c>
      <c r="E31" s="7" t="s">
        <v>62</v>
      </c>
      <c r="F31" s="7" t="s">
        <v>68</v>
      </c>
      <c r="G31" s="7" t="s">
        <v>386</v>
      </c>
      <c r="H31" s="7">
        <v>40</v>
      </c>
      <c r="I31" s="7" t="s">
        <v>15</v>
      </c>
      <c r="J31" s="7"/>
      <c r="K31" s="7"/>
    </row>
    <row r="32" spans="1:11" x14ac:dyDescent="0.3">
      <c r="A32" s="7" t="s">
        <v>192</v>
      </c>
      <c r="B32" s="7"/>
      <c r="C32" s="7" t="s">
        <v>130</v>
      </c>
      <c r="D32" s="7" t="s">
        <v>51</v>
      </c>
      <c r="E32" s="7" t="s">
        <v>62</v>
      </c>
      <c r="F32" s="7" t="s">
        <v>63</v>
      </c>
      <c r="G32" s="7" t="s">
        <v>385</v>
      </c>
      <c r="H32" s="7">
        <v>9</v>
      </c>
      <c r="I32" s="7"/>
      <c r="J32" s="7"/>
      <c r="K32" s="7"/>
    </row>
    <row r="33" spans="1:11" x14ac:dyDescent="0.3">
      <c r="A33" s="7" t="s">
        <v>192</v>
      </c>
      <c r="B33" s="7" t="s">
        <v>132</v>
      </c>
      <c r="C33" s="7" t="s">
        <v>131</v>
      </c>
      <c r="D33" s="7" t="s">
        <v>52</v>
      </c>
      <c r="E33" s="7" t="s">
        <v>62</v>
      </c>
      <c r="F33" s="7" t="s">
        <v>63</v>
      </c>
      <c r="G33" s="7" t="s">
        <v>385</v>
      </c>
      <c r="H33" s="7">
        <v>25</v>
      </c>
      <c r="I33" s="7" t="s">
        <v>15</v>
      </c>
      <c r="J33" s="7"/>
      <c r="K33" s="7"/>
    </row>
    <row r="34" spans="1:11" x14ac:dyDescent="0.3">
      <c r="A34" s="7" t="s">
        <v>192</v>
      </c>
      <c r="B34" s="7" t="s">
        <v>134</v>
      </c>
      <c r="C34" s="7" t="s">
        <v>133</v>
      </c>
      <c r="D34" s="7" t="s">
        <v>53</v>
      </c>
      <c r="E34" s="7" t="s">
        <v>62</v>
      </c>
      <c r="F34" s="7" t="s">
        <v>66</v>
      </c>
      <c r="G34" s="7" t="s">
        <v>384</v>
      </c>
      <c r="H34" s="7">
        <v>66</v>
      </c>
      <c r="I34" s="7" t="s">
        <v>15</v>
      </c>
      <c r="J34" s="7"/>
      <c r="K34" s="7"/>
    </row>
    <row r="35" spans="1:11" x14ac:dyDescent="0.3">
      <c r="A35" s="7" t="s">
        <v>192</v>
      </c>
      <c r="B35" s="7" t="s">
        <v>136</v>
      </c>
      <c r="C35" s="7" t="s">
        <v>135</v>
      </c>
      <c r="D35" s="7" t="s">
        <v>54</v>
      </c>
      <c r="E35" s="7" t="s">
        <v>62</v>
      </c>
      <c r="F35" s="7" t="s">
        <v>65</v>
      </c>
      <c r="G35" s="7" t="s">
        <v>65</v>
      </c>
      <c r="H35" s="7">
        <v>12</v>
      </c>
      <c r="I35" s="7" t="s">
        <v>15</v>
      </c>
      <c r="J35" s="7"/>
      <c r="K35" s="7"/>
    </row>
    <row r="36" spans="1:11" x14ac:dyDescent="0.3">
      <c r="A36" s="7" t="s">
        <v>192</v>
      </c>
      <c r="B36" s="7" t="s">
        <v>137</v>
      </c>
      <c r="C36" s="7" t="s">
        <v>138</v>
      </c>
      <c r="D36" s="7" t="s">
        <v>55</v>
      </c>
      <c r="E36" s="7" t="s">
        <v>62</v>
      </c>
      <c r="F36" s="7" t="s">
        <v>68</v>
      </c>
      <c r="G36" s="7" t="s">
        <v>386</v>
      </c>
      <c r="H36" s="7">
        <v>16</v>
      </c>
      <c r="I36" s="7" t="s">
        <v>15</v>
      </c>
      <c r="J36" s="7"/>
      <c r="K36" s="7"/>
    </row>
    <row r="37" spans="1:11" x14ac:dyDescent="0.3">
      <c r="A37" s="7" t="s">
        <v>192</v>
      </c>
      <c r="B37" s="7"/>
      <c r="C37" s="7" t="s">
        <v>139</v>
      </c>
      <c r="D37" s="7" t="s">
        <v>56</v>
      </c>
      <c r="E37" s="7" t="s">
        <v>62</v>
      </c>
      <c r="F37" s="7" t="s">
        <v>65</v>
      </c>
      <c r="G37" s="7" t="s">
        <v>65</v>
      </c>
      <c r="H37" s="7"/>
      <c r="I37" s="7"/>
      <c r="J37" s="7"/>
      <c r="K37" s="7"/>
    </row>
    <row r="38" spans="1:11" x14ac:dyDescent="0.3">
      <c r="A38" s="7" t="s">
        <v>367</v>
      </c>
      <c r="B38" s="7" t="s">
        <v>149</v>
      </c>
      <c r="C38" s="7" t="s">
        <v>148</v>
      </c>
      <c r="D38" s="7" t="s">
        <v>56</v>
      </c>
      <c r="E38" s="7" t="s">
        <v>62</v>
      </c>
      <c r="F38" s="7" t="s">
        <v>65</v>
      </c>
      <c r="G38" s="7" t="s">
        <v>65</v>
      </c>
      <c r="H38" s="7"/>
      <c r="I38" s="7" t="s">
        <v>15</v>
      </c>
      <c r="J38" s="7"/>
      <c r="K38" s="7"/>
    </row>
    <row r="39" spans="1:11" x14ac:dyDescent="0.3">
      <c r="A39" s="7" t="s">
        <v>192</v>
      </c>
      <c r="B39" s="7" t="s">
        <v>140</v>
      </c>
      <c r="C39" s="7" t="s">
        <v>141</v>
      </c>
      <c r="D39" s="7" t="s">
        <v>58</v>
      </c>
      <c r="E39" s="7" t="s">
        <v>62</v>
      </c>
      <c r="F39" s="7" t="s">
        <v>68</v>
      </c>
      <c r="G39" s="7" t="s">
        <v>386</v>
      </c>
      <c r="H39" s="7">
        <v>35</v>
      </c>
      <c r="I39" s="7" t="s">
        <v>15</v>
      </c>
      <c r="J39" s="7"/>
      <c r="K39" s="7"/>
    </row>
    <row r="40" spans="1:11" x14ac:dyDescent="0.3">
      <c r="A40" s="7" t="s">
        <v>192</v>
      </c>
      <c r="B40" s="7" t="s">
        <v>143</v>
      </c>
      <c r="C40" s="7" t="s">
        <v>142</v>
      </c>
      <c r="D40" s="7" t="s">
        <v>59</v>
      </c>
      <c r="E40" s="7" t="s">
        <v>62</v>
      </c>
      <c r="F40" s="7" t="s">
        <v>66</v>
      </c>
      <c r="G40" s="7" t="s">
        <v>384</v>
      </c>
      <c r="H40" s="7">
        <v>30</v>
      </c>
      <c r="I40" s="7" t="s">
        <v>15</v>
      </c>
      <c r="J40" s="7"/>
      <c r="K40" s="7"/>
    </row>
    <row r="41" spans="1:11" x14ac:dyDescent="0.3">
      <c r="A41" s="7" t="s">
        <v>192</v>
      </c>
      <c r="B41" s="7" t="s">
        <v>145</v>
      </c>
      <c r="C41" s="7" t="s">
        <v>144</v>
      </c>
      <c r="D41" s="7" t="s">
        <v>60</v>
      </c>
      <c r="E41" s="7" t="s">
        <v>62</v>
      </c>
      <c r="F41" s="7" t="s">
        <v>64</v>
      </c>
      <c r="G41" s="7" t="s">
        <v>385</v>
      </c>
      <c r="H41" s="7">
        <v>20</v>
      </c>
      <c r="I41" s="7" t="s">
        <v>15</v>
      </c>
      <c r="J41" s="7"/>
      <c r="K41" s="7"/>
    </row>
    <row r="42" spans="1:11" x14ac:dyDescent="0.3">
      <c r="A42" s="7" t="s">
        <v>192</v>
      </c>
      <c r="B42" s="7" t="s">
        <v>146</v>
      </c>
      <c r="C42" s="7" t="s">
        <v>147</v>
      </c>
      <c r="D42" s="7" t="s">
        <v>61</v>
      </c>
      <c r="E42" s="7" t="s">
        <v>62</v>
      </c>
      <c r="F42" s="7" t="s">
        <v>67</v>
      </c>
      <c r="G42" s="7" t="s">
        <v>384</v>
      </c>
      <c r="H42" s="7">
        <v>99</v>
      </c>
      <c r="I42" s="7" t="s">
        <v>15</v>
      </c>
      <c r="J42" s="7" t="b">
        <v>1</v>
      </c>
      <c r="K42" s="7" t="s">
        <v>403</v>
      </c>
    </row>
    <row r="43" spans="1:11" x14ac:dyDescent="0.3">
      <c r="A43" s="14" t="s">
        <v>192</v>
      </c>
      <c r="B43" s="14"/>
      <c r="C43" s="14" t="s">
        <v>164</v>
      </c>
      <c r="D43" s="14" t="s">
        <v>57</v>
      </c>
      <c r="E43" s="14" t="s">
        <v>70</v>
      </c>
      <c r="F43" s="14"/>
      <c r="G43" s="14"/>
      <c r="H43" s="14">
        <v>37</v>
      </c>
      <c r="I43" s="14"/>
      <c r="J43" s="14"/>
      <c r="K43" s="14"/>
    </row>
    <row r="44" spans="1:11" x14ac:dyDescent="0.3">
      <c r="A44" s="14" t="s">
        <v>192</v>
      </c>
      <c r="B44" s="14"/>
      <c r="C44" s="14" t="s">
        <v>180</v>
      </c>
      <c r="D44" s="14" t="s">
        <v>71</v>
      </c>
      <c r="E44" s="14" t="s">
        <v>70</v>
      </c>
      <c r="F44" s="14" t="s">
        <v>90</v>
      </c>
      <c r="G44" s="14"/>
      <c r="H44" s="14"/>
      <c r="I44" s="14"/>
      <c r="J44" s="14"/>
      <c r="K44" s="14"/>
    </row>
    <row r="45" spans="1:11" x14ac:dyDescent="0.3">
      <c r="A45" s="14" t="s">
        <v>192</v>
      </c>
      <c r="B45" s="14" t="s">
        <v>166</v>
      </c>
      <c r="C45" s="14" t="s">
        <v>165</v>
      </c>
      <c r="D45" s="14" t="s">
        <v>72</v>
      </c>
      <c r="E45" s="14" t="s">
        <v>70</v>
      </c>
      <c r="F45" s="14" t="s">
        <v>91</v>
      </c>
      <c r="G45" s="14" t="s">
        <v>387</v>
      </c>
      <c r="H45" s="14">
        <v>1400</v>
      </c>
      <c r="I45" s="14" t="s">
        <v>15</v>
      </c>
      <c r="J45" s="14" t="b">
        <v>1</v>
      </c>
      <c r="K45" s="14" t="s">
        <v>412</v>
      </c>
    </row>
    <row r="46" spans="1:11" x14ac:dyDescent="0.3">
      <c r="A46" s="14" t="s">
        <v>192</v>
      </c>
      <c r="B46" s="14" t="s">
        <v>400</v>
      </c>
      <c r="C46" s="14" t="s">
        <v>401</v>
      </c>
      <c r="D46" s="14" t="s">
        <v>72</v>
      </c>
      <c r="E46" s="14" t="s">
        <v>70</v>
      </c>
      <c r="F46" s="14" t="s">
        <v>91</v>
      </c>
      <c r="G46" s="14" t="s">
        <v>387</v>
      </c>
      <c r="H46" s="14">
        <v>2500</v>
      </c>
      <c r="I46" s="14" t="s">
        <v>15</v>
      </c>
      <c r="J46" s="14" t="b">
        <v>1</v>
      </c>
      <c r="K46" s="14" t="s">
        <v>413</v>
      </c>
    </row>
    <row r="47" spans="1:11" x14ac:dyDescent="0.3">
      <c r="A47" s="14" t="s">
        <v>192</v>
      </c>
      <c r="B47" s="14" t="s">
        <v>168</v>
      </c>
      <c r="C47" s="14" t="s">
        <v>167</v>
      </c>
      <c r="D47" s="14" t="s">
        <v>73</v>
      </c>
      <c r="E47" s="14" t="s">
        <v>70</v>
      </c>
      <c r="F47" s="14"/>
      <c r="G47" s="14" t="s">
        <v>397</v>
      </c>
      <c r="H47" s="14">
        <v>30</v>
      </c>
      <c r="I47" s="14" t="s">
        <v>15</v>
      </c>
      <c r="J47" s="14" t="b">
        <v>1</v>
      </c>
      <c r="K47" s="14" t="s">
        <v>414</v>
      </c>
    </row>
    <row r="48" spans="1:11" x14ac:dyDescent="0.3">
      <c r="A48" s="14" t="s">
        <v>192</v>
      </c>
      <c r="B48" s="14" t="s">
        <v>169</v>
      </c>
      <c r="C48" s="14" t="s">
        <v>170</v>
      </c>
      <c r="D48" s="14" t="s">
        <v>74</v>
      </c>
      <c r="E48" s="14" t="s">
        <v>70</v>
      </c>
      <c r="F48" s="14" t="s">
        <v>93</v>
      </c>
      <c r="G48" s="14" t="s">
        <v>397</v>
      </c>
      <c r="H48" s="14">
        <v>935</v>
      </c>
      <c r="I48" s="14" t="s">
        <v>15</v>
      </c>
      <c r="J48" s="14"/>
      <c r="K48" s="14"/>
    </row>
    <row r="49" spans="1:11" x14ac:dyDescent="0.3">
      <c r="A49" s="14" t="s">
        <v>192</v>
      </c>
      <c r="B49" s="14" t="s">
        <v>171</v>
      </c>
      <c r="C49" s="14" t="s">
        <v>172</v>
      </c>
      <c r="D49" s="14" t="s">
        <v>77</v>
      </c>
      <c r="E49" s="14" t="s">
        <v>70</v>
      </c>
      <c r="F49" s="14"/>
      <c r="G49" s="14" t="s">
        <v>387</v>
      </c>
      <c r="H49" s="14">
        <v>225</v>
      </c>
      <c r="I49" s="14" t="s">
        <v>15</v>
      </c>
      <c r="J49" s="14" t="b">
        <v>1</v>
      </c>
      <c r="K49" s="14" t="s">
        <v>415</v>
      </c>
    </row>
    <row r="50" spans="1:11" x14ac:dyDescent="0.3">
      <c r="A50" s="14" t="s">
        <v>192</v>
      </c>
      <c r="B50" s="14" t="s">
        <v>174</v>
      </c>
      <c r="C50" s="14" t="s">
        <v>173</v>
      </c>
      <c r="D50" s="14" t="s">
        <v>78</v>
      </c>
      <c r="E50" s="14" t="s">
        <v>70</v>
      </c>
      <c r="F50" s="14" t="s">
        <v>93</v>
      </c>
      <c r="G50" s="14" t="s">
        <v>397</v>
      </c>
      <c r="H50" s="14">
        <v>30</v>
      </c>
      <c r="I50" s="14" t="s">
        <v>15</v>
      </c>
      <c r="J50" s="14"/>
      <c r="K50" s="14"/>
    </row>
    <row r="51" spans="1:11" x14ac:dyDescent="0.3">
      <c r="A51" s="14" t="s">
        <v>192</v>
      </c>
      <c r="B51" s="14"/>
      <c r="C51" s="14" t="s">
        <v>181</v>
      </c>
      <c r="D51" s="14" t="s">
        <v>79</v>
      </c>
      <c r="E51" s="14" t="s">
        <v>70</v>
      </c>
      <c r="F51" s="14" t="s">
        <v>90</v>
      </c>
      <c r="G51" s="14"/>
      <c r="H51" s="14"/>
      <c r="I51" s="14"/>
      <c r="J51" s="14"/>
      <c r="K51" s="14"/>
    </row>
    <row r="52" spans="1:11" x14ac:dyDescent="0.3">
      <c r="A52" s="14" t="s">
        <v>192</v>
      </c>
      <c r="B52" s="14" t="s">
        <v>176</v>
      </c>
      <c r="C52" s="14" t="s">
        <v>175</v>
      </c>
      <c r="D52" s="14" t="s">
        <v>80</v>
      </c>
      <c r="E52" s="14" t="s">
        <v>70</v>
      </c>
      <c r="F52" s="14" t="s">
        <v>93</v>
      </c>
      <c r="G52" s="14" t="s">
        <v>397</v>
      </c>
      <c r="H52" s="14">
        <v>30</v>
      </c>
      <c r="I52" s="14" t="s">
        <v>15</v>
      </c>
      <c r="J52" s="14"/>
      <c r="K52" s="14"/>
    </row>
    <row r="53" spans="1:11" x14ac:dyDescent="0.3">
      <c r="A53" s="14" t="s">
        <v>192</v>
      </c>
      <c r="B53" s="14"/>
      <c r="C53" s="14" t="s">
        <v>179</v>
      </c>
      <c r="D53" s="14" t="s">
        <v>88</v>
      </c>
      <c r="E53" s="14" t="s">
        <v>70</v>
      </c>
      <c r="F53" s="14" t="s">
        <v>93</v>
      </c>
      <c r="G53" s="14" t="s">
        <v>397</v>
      </c>
      <c r="H53" s="14"/>
      <c r="I53" s="14"/>
      <c r="J53" s="14"/>
      <c r="K53" s="14"/>
    </row>
    <row r="54" spans="1:11" x14ac:dyDescent="0.3">
      <c r="A54" s="14" t="s">
        <v>367</v>
      </c>
      <c r="B54" s="14" t="s">
        <v>178</v>
      </c>
      <c r="C54" s="14" t="s">
        <v>177</v>
      </c>
      <c r="D54" s="14" t="s">
        <v>88</v>
      </c>
      <c r="E54" s="14" t="s">
        <v>70</v>
      </c>
      <c r="F54" s="14" t="s">
        <v>93</v>
      </c>
      <c r="G54" s="14" t="s">
        <v>397</v>
      </c>
      <c r="H54" s="14"/>
      <c r="I54" s="14" t="s">
        <v>15</v>
      </c>
      <c r="J54" s="14"/>
      <c r="K54" s="14"/>
    </row>
    <row r="55" spans="1:11" x14ac:dyDescent="0.3">
      <c r="A55" s="14" t="s">
        <v>192</v>
      </c>
      <c r="B55" s="14" t="s">
        <v>182</v>
      </c>
      <c r="C55" s="14" t="s">
        <v>183</v>
      </c>
      <c r="D55" s="14" t="s">
        <v>83</v>
      </c>
      <c r="E55" s="14" t="s">
        <v>70</v>
      </c>
      <c r="F55" s="14" t="s">
        <v>93</v>
      </c>
      <c r="G55" s="14" t="s">
        <v>397</v>
      </c>
      <c r="H55" s="14">
        <v>30</v>
      </c>
      <c r="I55" s="14" t="s">
        <v>15</v>
      </c>
      <c r="J55" s="14"/>
      <c r="K55" s="14"/>
    </row>
    <row r="56" spans="1:11" x14ac:dyDescent="0.3">
      <c r="A56" s="14" t="s">
        <v>192</v>
      </c>
      <c r="B56" s="14" t="s">
        <v>184</v>
      </c>
      <c r="C56" s="14" t="s">
        <v>185</v>
      </c>
      <c r="D56" s="14" t="s">
        <v>84</v>
      </c>
      <c r="E56" s="14" t="s">
        <v>70</v>
      </c>
      <c r="F56" s="14"/>
      <c r="G56" s="14" t="s">
        <v>387</v>
      </c>
      <c r="H56" s="14">
        <v>839</v>
      </c>
      <c r="I56" s="14" t="s">
        <v>15</v>
      </c>
      <c r="J56" s="14" t="b">
        <v>1</v>
      </c>
      <c r="K56" s="14" t="s">
        <v>416</v>
      </c>
    </row>
    <row r="57" spans="1:11" x14ac:dyDescent="0.3">
      <c r="A57" s="14" t="s">
        <v>192</v>
      </c>
      <c r="B57" s="14" t="s">
        <v>186</v>
      </c>
      <c r="C57" s="14" t="s">
        <v>187</v>
      </c>
      <c r="D57" s="14" t="s">
        <v>85</v>
      </c>
      <c r="E57" s="14" t="s">
        <v>70</v>
      </c>
      <c r="F57" s="14" t="s">
        <v>91</v>
      </c>
      <c r="G57" s="14" t="s">
        <v>387</v>
      </c>
      <c r="H57" s="14">
        <v>806</v>
      </c>
      <c r="I57" s="14" t="s">
        <v>15</v>
      </c>
      <c r="J57" s="14"/>
      <c r="K57" s="14"/>
    </row>
    <row r="58" spans="1:11" x14ac:dyDescent="0.3">
      <c r="A58" s="14" t="s">
        <v>192</v>
      </c>
      <c r="B58" s="14" t="s">
        <v>188</v>
      </c>
      <c r="C58" s="14" t="s">
        <v>189</v>
      </c>
      <c r="D58" s="14" t="s">
        <v>92</v>
      </c>
      <c r="E58" s="14" t="s">
        <v>70</v>
      </c>
      <c r="F58" s="14" t="s">
        <v>91</v>
      </c>
      <c r="G58" s="14" t="s">
        <v>387</v>
      </c>
      <c r="H58" s="14">
        <v>82</v>
      </c>
      <c r="I58" s="14" t="s">
        <v>15</v>
      </c>
      <c r="J58" s="14" t="b">
        <v>1</v>
      </c>
      <c r="K58" s="14" t="s">
        <v>417</v>
      </c>
    </row>
    <row r="59" spans="1:11" x14ac:dyDescent="0.3">
      <c r="A59" s="14" t="s">
        <v>192</v>
      </c>
      <c r="B59" s="14" t="s">
        <v>190</v>
      </c>
      <c r="C59" s="14" t="s">
        <v>191</v>
      </c>
      <c r="D59" s="14" t="s">
        <v>86</v>
      </c>
      <c r="E59" s="14" t="s">
        <v>70</v>
      </c>
      <c r="F59" s="14" t="s">
        <v>93</v>
      </c>
      <c r="G59" s="14" t="s">
        <v>397</v>
      </c>
      <c r="H59" s="14">
        <v>628</v>
      </c>
      <c r="I59" s="14" t="s">
        <v>15</v>
      </c>
      <c r="J59" s="14"/>
      <c r="K59" s="14"/>
    </row>
    <row r="60" spans="1:11" x14ac:dyDescent="0.3">
      <c r="A60" s="13" t="s">
        <v>192</v>
      </c>
      <c r="B60" s="13" t="s">
        <v>152</v>
      </c>
      <c r="C60" s="13" t="s">
        <v>153</v>
      </c>
      <c r="D60" s="13" t="s">
        <v>69</v>
      </c>
      <c r="E60" s="13" t="s">
        <v>89</v>
      </c>
      <c r="F60" s="13" t="s">
        <v>39</v>
      </c>
      <c r="G60" s="13" t="s">
        <v>39</v>
      </c>
      <c r="H60" s="13">
        <v>100</v>
      </c>
      <c r="I60" s="13" t="s">
        <v>15</v>
      </c>
      <c r="J60" s="13"/>
      <c r="K60" s="13"/>
    </row>
    <row r="61" spans="1:11" x14ac:dyDescent="0.3">
      <c r="A61" s="13" t="s">
        <v>192</v>
      </c>
      <c r="B61" s="13"/>
      <c r="C61" s="13" t="s">
        <v>154</v>
      </c>
      <c r="D61" s="13" t="s">
        <v>87</v>
      </c>
      <c r="E61" s="13" t="s">
        <v>89</v>
      </c>
      <c r="F61" s="13" t="s">
        <v>39</v>
      </c>
      <c r="G61" s="13" t="s">
        <v>39</v>
      </c>
      <c r="H61" s="13">
        <v>40</v>
      </c>
      <c r="I61" s="13"/>
      <c r="J61" s="13"/>
      <c r="K61" s="13"/>
    </row>
    <row r="62" spans="1:11" x14ac:dyDescent="0.3">
      <c r="A62" s="13" t="s">
        <v>367</v>
      </c>
      <c r="B62" s="13" t="s">
        <v>156</v>
      </c>
      <c r="C62" s="13" t="s">
        <v>155</v>
      </c>
      <c r="D62" s="13" t="s">
        <v>87</v>
      </c>
      <c r="E62" s="13" t="s">
        <v>89</v>
      </c>
      <c r="F62" s="13" t="s">
        <v>39</v>
      </c>
      <c r="G62" s="13" t="s">
        <v>39</v>
      </c>
      <c r="H62" s="13"/>
      <c r="I62" s="13" t="s">
        <v>15</v>
      </c>
      <c r="J62" s="13"/>
      <c r="K62" s="13"/>
    </row>
    <row r="63" spans="1:11" x14ac:dyDescent="0.3">
      <c r="A63" s="13" t="s">
        <v>192</v>
      </c>
      <c r="B63" s="13" t="s">
        <v>158</v>
      </c>
      <c r="C63" s="13" t="s">
        <v>157</v>
      </c>
      <c r="D63" s="13" t="s">
        <v>82</v>
      </c>
      <c r="E63" s="13" t="s">
        <v>89</v>
      </c>
      <c r="F63" s="13" t="s">
        <v>39</v>
      </c>
      <c r="G63" s="13" t="s">
        <v>39</v>
      </c>
      <c r="H63" s="13">
        <v>242</v>
      </c>
      <c r="I63" s="13" t="s">
        <v>15</v>
      </c>
      <c r="J63" s="13" t="b">
        <v>1</v>
      </c>
      <c r="K63" s="13" t="s">
        <v>418</v>
      </c>
    </row>
    <row r="64" spans="1:11" x14ac:dyDescent="0.3">
      <c r="A64" s="13" t="s">
        <v>192</v>
      </c>
      <c r="B64" s="13"/>
      <c r="C64" s="13" t="s">
        <v>159</v>
      </c>
      <c r="D64" s="13" t="s">
        <v>81</v>
      </c>
      <c r="E64" s="13" t="s">
        <v>89</v>
      </c>
      <c r="F64" s="13" t="s">
        <v>39</v>
      </c>
      <c r="G64" s="13" t="s">
        <v>39</v>
      </c>
      <c r="H64" s="13"/>
      <c r="I64" s="13"/>
      <c r="J64" s="13"/>
      <c r="K64" s="13"/>
    </row>
    <row r="65" spans="1:11" s="17" customFormat="1" x14ac:dyDescent="0.3">
      <c r="A65" s="13" t="s">
        <v>367</v>
      </c>
      <c r="B65" s="13" t="s">
        <v>161</v>
      </c>
      <c r="C65" s="13" t="s">
        <v>160</v>
      </c>
      <c r="D65" s="13" t="s">
        <v>81</v>
      </c>
      <c r="E65" s="13" t="s">
        <v>89</v>
      </c>
      <c r="F65" s="13" t="s">
        <v>39</v>
      </c>
      <c r="G65" s="13" t="s">
        <v>39</v>
      </c>
      <c r="H65" s="13"/>
      <c r="I65" s="13" t="s">
        <v>15</v>
      </c>
      <c r="J65" s="13"/>
      <c r="K65" s="13"/>
    </row>
    <row r="66" spans="1:11" x14ac:dyDescent="0.3">
      <c r="A66" s="13" t="s">
        <v>192</v>
      </c>
      <c r="B66" s="13" t="s">
        <v>162</v>
      </c>
      <c r="C66" s="13" t="s">
        <v>163</v>
      </c>
      <c r="D66" s="13" t="s">
        <v>76</v>
      </c>
      <c r="E66" s="13" t="s">
        <v>89</v>
      </c>
      <c r="F66" s="13" t="s">
        <v>39</v>
      </c>
      <c r="G66" s="13" t="s">
        <v>39</v>
      </c>
      <c r="H66" s="13">
        <v>35</v>
      </c>
      <c r="I66" s="13" t="s">
        <v>15</v>
      </c>
      <c r="J66" s="13"/>
      <c r="K66" s="13"/>
    </row>
    <row r="67" spans="1:11" x14ac:dyDescent="0.3">
      <c r="A67" s="13" t="s">
        <v>192</v>
      </c>
      <c r="B67" s="13"/>
      <c r="C67" s="13" t="s">
        <v>356</v>
      </c>
      <c r="D67" s="13" t="s">
        <v>75</v>
      </c>
      <c r="E67" s="13" t="s">
        <v>89</v>
      </c>
      <c r="F67" s="13" t="s">
        <v>39</v>
      </c>
      <c r="G67" s="13" t="s">
        <v>39</v>
      </c>
      <c r="H67" s="13"/>
      <c r="I67" s="13"/>
      <c r="J67" s="13"/>
      <c r="K67" s="13"/>
    </row>
    <row r="68" spans="1:11" x14ac:dyDescent="0.3">
      <c r="A68" s="31" t="s">
        <v>367</v>
      </c>
      <c r="B68" s="32" t="s">
        <v>388</v>
      </c>
      <c r="C68" s="32" t="s">
        <v>389</v>
      </c>
      <c r="D68" s="32"/>
      <c r="E68" s="32" t="s">
        <v>390</v>
      </c>
      <c r="F68" s="32"/>
      <c r="G68" s="32"/>
      <c r="H68" s="32"/>
      <c r="I68" s="31" t="s">
        <v>15</v>
      </c>
      <c r="J68" s="31"/>
      <c r="K68" s="31"/>
    </row>
    <row r="69" spans="1:11" x14ac:dyDescent="0.3">
      <c r="A69" s="31" t="s">
        <v>367</v>
      </c>
      <c r="B69" s="32" t="s">
        <v>392</v>
      </c>
      <c r="C69" s="32" t="s">
        <v>393</v>
      </c>
      <c r="D69" s="32"/>
      <c r="E69" s="32" t="s">
        <v>391</v>
      </c>
      <c r="F69" s="32"/>
      <c r="G69" s="32"/>
      <c r="H69" s="32"/>
      <c r="I69" s="31" t="s">
        <v>15</v>
      </c>
      <c r="J69" s="31"/>
      <c r="K69" s="31"/>
    </row>
    <row r="70" spans="1:11" x14ac:dyDescent="0.3">
      <c r="A70" s="31" t="s">
        <v>396</v>
      </c>
      <c r="B70" s="32" t="s">
        <v>394</v>
      </c>
      <c r="C70" s="32" t="s">
        <v>395</v>
      </c>
      <c r="D70" s="32"/>
      <c r="E70" s="32" t="s">
        <v>212</v>
      </c>
      <c r="F70" s="32"/>
      <c r="G70" s="32"/>
      <c r="H70" s="32"/>
      <c r="I70" s="31" t="s">
        <v>15</v>
      </c>
      <c r="J70" s="31"/>
      <c r="K70" s="31"/>
    </row>
    <row r="71" spans="1:11" x14ac:dyDescent="0.3">
      <c r="A71" s="33" t="s">
        <v>367</v>
      </c>
      <c r="B71" s="33" t="s">
        <v>107</v>
      </c>
      <c r="C71" s="33" t="s">
        <v>106</v>
      </c>
      <c r="D71" s="33"/>
      <c r="E71" s="33" t="s">
        <v>30</v>
      </c>
      <c r="F71" s="33"/>
      <c r="G71" s="33"/>
      <c r="H71" s="33">
        <v>81</v>
      </c>
      <c r="I71" s="33" t="s">
        <v>15</v>
      </c>
      <c r="J71" s="33"/>
      <c r="K71" s="33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2AEE1-E53D-4E32-A4CA-CEEEDCAAB677}">
  <sheetPr codeName="Sheet2">
    <tabColor theme="5" tint="0.79998168889431442"/>
  </sheetPr>
  <dimension ref="A1:L22"/>
  <sheetViews>
    <sheetView zoomScale="85" zoomScaleNormal="85" workbookViewId="0">
      <selection sqref="A1:XFD1"/>
    </sheetView>
  </sheetViews>
  <sheetFormatPr defaultRowHeight="14.4" x14ac:dyDescent="0.3"/>
  <cols>
    <col min="1" max="1" width="15.88671875" bestFit="1" customWidth="1"/>
    <col min="2" max="2" width="10.6640625" bestFit="1" customWidth="1"/>
    <col min="3" max="3" width="57.44140625" bestFit="1" customWidth="1"/>
    <col min="4" max="4" width="15.109375" bestFit="1" customWidth="1"/>
    <col min="5" max="5" width="13.88671875" bestFit="1" customWidth="1"/>
    <col min="6" max="6" width="19" bestFit="1" customWidth="1"/>
    <col min="7" max="7" width="33.44140625" bestFit="1" customWidth="1"/>
    <col min="8" max="8" width="18.109375" bestFit="1" customWidth="1"/>
    <col min="9" max="9" width="16.44140625" bestFit="1" customWidth="1"/>
    <col min="10" max="10" width="18" bestFit="1" customWidth="1"/>
    <col min="11" max="11" width="11.6640625" bestFit="1" customWidth="1"/>
  </cols>
  <sheetData>
    <row r="1" spans="1:12" s="1" customFormat="1" x14ac:dyDescent="0.3">
      <c r="A1" s="15" t="s">
        <v>9</v>
      </c>
      <c r="B1" s="16" t="s">
        <v>4</v>
      </c>
      <c r="C1" s="16" t="s">
        <v>13</v>
      </c>
      <c r="D1" s="16" t="s">
        <v>6</v>
      </c>
      <c r="E1" s="16" t="s">
        <v>5</v>
      </c>
      <c r="F1" s="16" t="s">
        <v>11</v>
      </c>
      <c r="G1" s="16" t="s">
        <v>354</v>
      </c>
      <c r="H1" s="16" t="s">
        <v>213</v>
      </c>
      <c r="I1" s="16" t="s">
        <v>353</v>
      </c>
      <c r="J1" s="16" t="s">
        <v>214</v>
      </c>
      <c r="K1" s="15" t="s">
        <v>14</v>
      </c>
      <c r="L1" s="15" t="s">
        <v>256</v>
      </c>
    </row>
    <row r="2" spans="1:12" x14ac:dyDescent="0.3">
      <c r="A2" s="12" t="s">
        <v>193</v>
      </c>
      <c r="B2" s="6" t="s">
        <v>200</v>
      </c>
      <c r="C2" s="6" t="s">
        <v>199</v>
      </c>
      <c r="D2" s="12" t="s">
        <v>25</v>
      </c>
      <c r="E2" s="12" t="s">
        <v>16</v>
      </c>
      <c r="F2" s="12" t="s">
        <v>16</v>
      </c>
      <c r="G2" s="6" t="s">
        <v>206</v>
      </c>
      <c r="H2" s="6" t="s">
        <v>215</v>
      </c>
      <c r="I2" s="12">
        <v>0.25</v>
      </c>
      <c r="J2" s="12"/>
      <c r="K2" s="12" t="s">
        <v>15</v>
      </c>
      <c r="L2" s="12"/>
    </row>
    <row r="3" spans="1:12" x14ac:dyDescent="0.3">
      <c r="A3" s="12" t="s">
        <v>193</v>
      </c>
      <c r="B3" s="12"/>
      <c r="C3" s="12" t="s">
        <v>201</v>
      </c>
      <c r="D3" s="12" t="s">
        <v>25</v>
      </c>
      <c r="E3" s="12" t="s">
        <v>16</v>
      </c>
      <c r="F3" s="12" t="s">
        <v>16</v>
      </c>
      <c r="G3" s="6" t="s">
        <v>206</v>
      </c>
      <c r="H3" s="6" t="s">
        <v>215</v>
      </c>
      <c r="I3" s="12">
        <v>1</v>
      </c>
      <c r="J3" s="12"/>
      <c r="K3" s="12"/>
      <c r="L3" s="12"/>
    </row>
    <row r="4" spans="1:12" x14ac:dyDescent="0.3">
      <c r="A4" s="12" t="s">
        <v>193</v>
      </c>
      <c r="B4" s="12"/>
      <c r="C4" s="12" t="s">
        <v>202</v>
      </c>
      <c r="D4" s="12" t="s">
        <v>25</v>
      </c>
      <c r="E4" s="12" t="s">
        <v>16</v>
      </c>
      <c r="F4" s="12" t="s">
        <v>16</v>
      </c>
      <c r="G4" s="6" t="s">
        <v>206</v>
      </c>
      <c r="H4" s="6" t="s">
        <v>215</v>
      </c>
      <c r="I4" s="12">
        <v>2</v>
      </c>
      <c r="J4" s="12"/>
      <c r="K4" s="12"/>
      <c r="L4" s="12"/>
    </row>
    <row r="5" spans="1:12" x14ac:dyDescent="0.3">
      <c r="A5" s="12" t="s">
        <v>193</v>
      </c>
      <c r="B5" s="12" t="s">
        <v>198</v>
      </c>
      <c r="C5" s="12" t="s">
        <v>203</v>
      </c>
      <c r="D5" s="12" t="s">
        <v>25</v>
      </c>
      <c r="E5" s="12" t="s">
        <v>16</v>
      </c>
      <c r="F5" s="12" t="s">
        <v>16</v>
      </c>
      <c r="G5" s="6" t="s">
        <v>206</v>
      </c>
      <c r="H5" s="6" t="s">
        <v>215</v>
      </c>
      <c r="I5" s="12">
        <v>5</v>
      </c>
      <c r="J5" s="12"/>
      <c r="K5" s="12" t="s">
        <v>15</v>
      </c>
      <c r="L5" s="12"/>
    </row>
    <row r="6" spans="1:12" x14ac:dyDescent="0.3">
      <c r="A6" s="12" t="s">
        <v>193</v>
      </c>
      <c r="B6" s="12" t="s">
        <v>197</v>
      </c>
      <c r="C6" s="12" t="s">
        <v>204</v>
      </c>
      <c r="D6" s="12" t="s">
        <v>25</v>
      </c>
      <c r="E6" s="12" t="s">
        <v>16</v>
      </c>
      <c r="F6" s="12" t="s">
        <v>16</v>
      </c>
      <c r="G6" s="6" t="s">
        <v>206</v>
      </c>
      <c r="H6" s="6" t="s">
        <v>215</v>
      </c>
      <c r="I6" s="12">
        <v>10</v>
      </c>
      <c r="J6" s="12"/>
      <c r="K6" s="12" t="s">
        <v>15</v>
      </c>
      <c r="L6" s="12"/>
    </row>
    <row r="7" spans="1:12" x14ac:dyDescent="0.3">
      <c r="A7" s="12" t="s">
        <v>193</v>
      </c>
      <c r="B7" s="12" t="s">
        <v>196</v>
      </c>
      <c r="C7" s="12" t="s">
        <v>205</v>
      </c>
      <c r="D7" s="12" t="s">
        <v>25</v>
      </c>
      <c r="E7" s="12" t="s">
        <v>16</v>
      </c>
      <c r="F7" s="12" t="s">
        <v>16</v>
      </c>
      <c r="G7" s="6" t="s">
        <v>206</v>
      </c>
      <c r="H7" s="6" t="s">
        <v>215</v>
      </c>
      <c r="I7" s="12">
        <v>30</v>
      </c>
      <c r="J7" s="12"/>
      <c r="K7" s="12" t="s">
        <v>15</v>
      </c>
      <c r="L7" s="12"/>
    </row>
    <row r="8" spans="1:12" x14ac:dyDescent="0.3">
      <c r="A8" s="11" t="s">
        <v>193</v>
      </c>
      <c r="B8" s="11"/>
      <c r="C8" s="11" t="s">
        <v>357</v>
      </c>
      <c r="D8" s="11" t="s">
        <v>46</v>
      </c>
      <c r="E8" s="11" t="s">
        <v>62</v>
      </c>
      <c r="F8" s="11" t="s">
        <v>62</v>
      </c>
      <c r="G8" s="11" t="s">
        <v>206</v>
      </c>
      <c r="H8" s="11" t="s">
        <v>215</v>
      </c>
      <c r="I8" s="11"/>
      <c r="J8" s="11"/>
      <c r="K8" s="11"/>
      <c r="L8" s="11"/>
    </row>
    <row r="9" spans="1:12" x14ac:dyDescent="0.3">
      <c r="A9" s="11" t="s">
        <v>193</v>
      </c>
      <c r="B9" s="11"/>
      <c r="C9" s="11" t="s">
        <v>358</v>
      </c>
      <c r="D9" s="11" t="s">
        <v>77</v>
      </c>
      <c r="E9" s="11" t="s">
        <v>70</v>
      </c>
      <c r="F9" s="11" t="s">
        <v>70</v>
      </c>
      <c r="G9" s="11" t="s">
        <v>206</v>
      </c>
      <c r="H9" s="11" t="s">
        <v>215</v>
      </c>
      <c r="I9" s="11"/>
      <c r="J9" s="11"/>
      <c r="K9" s="11"/>
      <c r="L9" s="11"/>
    </row>
    <row r="10" spans="1:12" x14ac:dyDescent="0.3">
      <c r="A10" s="11" t="s">
        <v>193</v>
      </c>
      <c r="B10" s="11"/>
      <c r="C10" s="11" t="s">
        <v>359</v>
      </c>
      <c r="D10" s="11" t="s">
        <v>61</v>
      </c>
      <c r="E10" s="11" t="s">
        <v>62</v>
      </c>
      <c r="F10" s="11" t="s">
        <v>62</v>
      </c>
      <c r="G10" s="11" t="s">
        <v>206</v>
      </c>
      <c r="H10" s="11" t="s">
        <v>215</v>
      </c>
      <c r="I10" s="11"/>
      <c r="J10" s="11"/>
      <c r="K10" s="11"/>
      <c r="L10" s="11"/>
    </row>
    <row r="11" spans="1:12" x14ac:dyDescent="0.3">
      <c r="A11" s="11" t="s">
        <v>193</v>
      </c>
      <c r="B11" s="11"/>
      <c r="C11" s="11" t="s">
        <v>360</v>
      </c>
      <c r="D11" s="11" t="s">
        <v>45</v>
      </c>
      <c r="E11" s="11" t="s">
        <v>62</v>
      </c>
      <c r="F11" s="11" t="s">
        <v>62</v>
      </c>
      <c r="G11" s="11" t="s">
        <v>206</v>
      </c>
      <c r="H11" s="11" t="s">
        <v>215</v>
      </c>
      <c r="I11" s="11"/>
      <c r="J11" s="11"/>
      <c r="K11" s="11"/>
      <c r="L11" s="11"/>
    </row>
    <row r="12" spans="1:12" x14ac:dyDescent="0.3">
      <c r="A12" s="11" t="s">
        <v>193</v>
      </c>
      <c r="B12" s="11"/>
      <c r="C12" s="11" t="s">
        <v>361</v>
      </c>
      <c r="D12" s="11" t="s">
        <v>50</v>
      </c>
      <c r="E12" s="11" t="s">
        <v>62</v>
      </c>
      <c r="F12" s="11" t="s">
        <v>62</v>
      </c>
      <c r="G12" s="11" t="s">
        <v>207</v>
      </c>
      <c r="H12" s="11" t="s">
        <v>215</v>
      </c>
      <c r="I12" s="11"/>
      <c r="J12" s="11"/>
      <c r="K12" s="11"/>
      <c r="L12" s="11"/>
    </row>
    <row r="13" spans="1:12" x14ac:dyDescent="0.3">
      <c r="A13" s="11" t="s">
        <v>193</v>
      </c>
      <c r="B13" s="11"/>
      <c r="C13" s="11" t="s">
        <v>362</v>
      </c>
      <c r="D13" s="11" t="s">
        <v>26</v>
      </c>
      <c r="E13" s="11" t="s">
        <v>16</v>
      </c>
      <c r="F13" s="11" t="s">
        <v>16</v>
      </c>
      <c r="G13" s="11" t="s">
        <v>207</v>
      </c>
      <c r="H13" s="11" t="s">
        <v>215</v>
      </c>
      <c r="I13" s="11"/>
      <c r="J13" s="11"/>
      <c r="K13" s="11"/>
      <c r="L13" s="11"/>
    </row>
    <row r="14" spans="1:12" x14ac:dyDescent="0.3">
      <c r="A14" s="11" t="s">
        <v>193</v>
      </c>
      <c r="B14" s="11"/>
      <c r="C14" s="11" t="s">
        <v>363</v>
      </c>
      <c r="D14" s="11" t="s">
        <v>72</v>
      </c>
      <c r="E14" s="11" t="s">
        <v>70</v>
      </c>
      <c r="F14" s="11" t="s">
        <v>70</v>
      </c>
      <c r="G14" s="11" t="s">
        <v>207</v>
      </c>
      <c r="H14" s="11" t="s">
        <v>215</v>
      </c>
      <c r="I14" s="11"/>
      <c r="J14" s="11"/>
      <c r="K14" s="11"/>
      <c r="L14" s="11"/>
    </row>
    <row r="15" spans="1:12" x14ac:dyDescent="0.3">
      <c r="A15" s="11" t="s">
        <v>193</v>
      </c>
      <c r="B15" s="11"/>
      <c r="C15" s="11" t="s">
        <v>364</v>
      </c>
      <c r="D15" s="11" t="s">
        <v>84</v>
      </c>
      <c r="E15" s="11" t="s">
        <v>70</v>
      </c>
      <c r="F15" s="11" t="s">
        <v>70</v>
      </c>
      <c r="G15" s="11" t="s">
        <v>207</v>
      </c>
      <c r="H15" s="11" t="s">
        <v>215</v>
      </c>
      <c r="I15" s="11"/>
      <c r="J15" s="11"/>
      <c r="K15" s="11"/>
      <c r="L15" s="11"/>
    </row>
    <row r="16" spans="1:12" x14ac:dyDescent="0.3">
      <c r="A16" s="11" t="s">
        <v>193</v>
      </c>
      <c r="B16" s="11"/>
      <c r="C16" s="11" t="s">
        <v>365</v>
      </c>
      <c r="D16" s="11" t="s">
        <v>29</v>
      </c>
      <c r="E16" s="11" t="s">
        <v>27</v>
      </c>
      <c r="F16" s="11" t="s">
        <v>28</v>
      </c>
      <c r="G16" s="11" t="s">
        <v>207</v>
      </c>
      <c r="H16" s="11" t="s">
        <v>215</v>
      </c>
      <c r="I16" s="11"/>
      <c r="J16" s="11"/>
      <c r="K16" s="11"/>
      <c r="L16" s="11"/>
    </row>
    <row r="17" spans="1:12" x14ac:dyDescent="0.3">
      <c r="A17" s="10" t="s">
        <v>368</v>
      </c>
      <c r="B17" s="10" t="s">
        <v>208</v>
      </c>
      <c r="C17" s="10" t="s">
        <v>209</v>
      </c>
      <c r="D17" s="10"/>
      <c r="E17" s="10" t="s">
        <v>217</v>
      </c>
      <c r="F17" s="10" t="s">
        <v>217</v>
      </c>
      <c r="G17" s="10" t="s">
        <v>207</v>
      </c>
      <c r="H17" s="10" t="s">
        <v>215</v>
      </c>
      <c r="I17" s="10"/>
      <c r="J17" s="10"/>
      <c r="K17" s="10" t="s">
        <v>15</v>
      </c>
      <c r="L17" s="10" t="s">
        <v>403</v>
      </c>
    </row>
    <row r="18" spans="1:12" x14ac:dyDescent="0.3">
      <c r="A18" s="10" t="s">
        <v>368</v>
      </c>
      <c r="B18" s="10" t="s">
        <v>211</v>
      </c>
      <c r="C18" s="10" t="s">
        <v>210</v>
      </c>
      <c r="D18" s="10"/>
      <c r="E18" s="10" t="s">
        <v>217</v>
      </c>
      <c r="F18" s="10" t="s">
        <v>217</v>
      </c>
      <c r="G18" s="10" t="s">
        <v>212</v>
      </c>
      <c r="H18" s="10" t="s">
        <v>215</v>
      </c>
      <c r="I18" s="10"/>
      <c r="J18" s="10"/>
      <c r="K18" s="10" t="s">
        <v>15</v>
      </c>
      <c r="L18" s="10" t="s">
        <v>399</v>
      </c>
    </row>
    <row r="19" spans="1:12" x14ac:dyDescent="0.3">
      <c r="A19" s="10" t="s">
        <v>368</v>
      </c>
      <c r="B19" s="10" t="s">
        <v>219</v>
      </c>
      <c r="C19" s="10" t="s">
        <v>216</v>
      </c>
      <c r="D19" s="10"/>
      <c r="E19" s="10" t="s">
        <v>217</v>
      </c>
      <c r="F19" s="10" t="s">
        <v>217</v>
      </c>
      <c r="G19" s="10" t="s">
        <v>207</v>
      </c>
      <c r="H19" s="10" t="s">
        <v>218</v>
      </c>
      <c r="I19" s="10"/>
      <c r="J19" s="10" t="s">
        <v>194</v>
      </c>
      <c r="K19" s="10" t="s">
        <v>15</v>
      </c>
      <c r="L19" s="10" t="s">
        <v>403</v>
      </c>
    </row>
    <row r="20" spans="1:12" x14ac:dyDescent="0.3">
      <c r="A20" s="10" t="s">
        <v>368</v>
      </c>
      <c r="B20" s="10" t="s">
        <v>221</v>
      </c>
      <c r="C20" s="10" t="s">
        <v>220</v>
      </c>
      <c r="D20" s="10"/>
      <c r="E20" s="10" t="s">
        <v>217</v>
      </c>
      <c r="F20" s="10" t="s">
        <v>217</v>
      </c>
      <c r="G20" s="10" t="s">
        <v>206</v>
      </c>
      <c r="H20" s="10" t="s">
        <v>218</v>
      </c>
      <c r="I20" s="10"/>
      <c r="J20" s="10" t="s">
        <v>195</v>
      </c>
      <c r="K20" s="10" t="s">
        <v>15</v>
      </c>
      <c r="L20" s="10" t="s">
        <v>403</v>
      </c>
    </row>
    <row r="21" spans="1:12" x14ac:dyDescent="0.3">
      <c r="A21" s="10" t="s">
        <v>368</v>
      </c>
      <c r="B21" s="10" t="s">
        <v>223</v>
      </c>
      <c r="C21" s="10" t="s">
        <v>222</v>
      </c>
      <c r="D21" s="10"/>
      <c r="E21" s="10" t="s">
        <v>217</v>
      </c>
      <c r="F21" s="10" t="s">
        <v>217</v>
      </c>
      <c r="G21" s="10" t="s">
        <v>206</v>
      </c>
      <c r="H21" s="10" t="s">
        <v>218</v>
      </c>
      <c r="I21" s="10"/>
      <c r="J21" s="10" t="s">
        <v>195</v>
      </c>
      <c r="K21" s="10" t="s">
        <v>15</v>
      </c>
      <c r="L21" s="10" t="s">
        <v>405</v>
      </c>
    </row>
    <row r="22" spans="1:12" x14ac:dyDescent="0.3">
      <c r="A22" s="10" t="s">
        <v>368</v>
      </c>
      <c r="B22" s="10" t="s">
        <v>224</v>
      </c>
      <c r="C22" s="10" t="s">
        <v>225</v>
      </c>
      <c r="D22" s="10" t="s">
        <v>25</v>
      </c>
      <c r="E22" s="10" t="s">
        <v>16</v>
      </c>
      <c r="F22" s="10" t="s">
        <v>16</v>
      </c>
      <c r="G22" s="10" t="s">
        <v>25</v>
      </c>
      <c r="H22" s="10" t="s">
        <v>218</v>
      </c>
      <c r="I22" s="10"/>
      <c r="J22" s="10" t="s">
        <v>194</v>
      </c>
      <c r="K22" s="10" t="s">
        <v>15</v>
      </c>
      <c r="L22" s="10" t="s">
        <v>399</v>
      </c>
    </row>
  </sheetData>
  <autoFilter ref="A1:K22" xr:uid="{1AF2AEE1-E53D-4E32-A4CA-CEEEDCAAB677}"/>
  <phoneticPr fontId="5" type="noConversion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AA2F4-D069-4AFB-965A-85F232469961}">
  <sheetPr codeName="Sheet6">
    <tabColor theme="5" tint="0.79998168889431442"/>
  </sheetPr>
  <dimension ref="A1:H8"/>
  <sheetViews>
    <sheetView zoomScale="85" zoomScaleNormal="85" workbookViewId="0">
      <selection activeCell="G1" sqref="G1:H1"/>
    </sheetView>
  </sheetViews>
  <sheetFormatPr defaultColWidth="9.109375" defaultRowHeight="14.4" x14ac:dyDescent="0.3"/>
  <cols>
    <col min="1" max="1" width="15.88671875" style="8" bestFit="1" customWidth="1"/>
    <col min="2" max="2" width="10.6640625" style="8" bestFit="1" customWidth="1"/>
    <col min="3" max="3" width="10.5546875" style="8" bestFit="1" customWidth="1"/>
    <col min="4" max="4" width="31.5546875" style="8" bestFit="1" customWidth="1"/>
    <col min="5" max="5" width="29.44140625" style="8" bestFit="1" customWidth="1"/>
    <col min="6" max="6" width="11.6640625" style="8" bestFit="1" customWidth="1"/>
    <col min="7" max="7" width="9.109375" style="8" customWidth="1"/>
    <col min="8" max="16384" width="9.109375" style="8"/>
  </cols>
  <sheetData>
    <row r="1" spans="1:8" x14ac:dyDescent="0.3">
      <c r="A1" s="15" t="s">
        <v>9</v>
      </c>
      <c r="B1" s="16" t="s">
        <v>4</v>
      </c>
      <c r="C1" s="16" t="s">
        <v>13</v>
      </c>
      <c r="D1" s="16" t="s">
        <v>228</v>
      </c>
      <c r="E1" s="16" t="s">
        <v>229</v>
      </c>
      <c r="F1" s="15" t="s">
        <v>14</v>
      </c>
      <c r="G1" s="34" t="s">
        <v>425</v>
      </c>
      <c r="H1" s="34" t="s">
        <v>426</v>
      </c>
    </row>
    <row r="2" spans="1:8" x14ac:dyDescent="0.3">
      <c r="A2" s="18" t="s">
        <v>244</v>
      </c>
      <c r="B2" s="18" t="s">
        <v>226</v>
      </c>
      <c r="C2" s="18" t="s">
        <v>227</v>
      </c>
      <c r="D2" s="18" t="s">
        <v>230</v>
      </c>
      <c r="E2" s="18" t="s">
        <v>25</v>
      </c>
      <c r="F2" s="18" t="s">
        <v>15</v>
      </c>
      <c r="G2" s="8" t="s">
        <v>427</v>
      </c>
      <c r="H2" s="8" t="s">
        <v>434</v>
      </c>
    </row>
    <row r="3" spans="1:8" x14ac:dyDescent="0.3">
      <c r="A3" s="18" t="s">
        <v>244</v>
      </c>
      <c r="B3" s="18" t="s">
        <v>231</v>
      </c>
      <c r="C3" s="18" t="s">
        <v>238</v>
      </c>
      <c r="D3" s="18" t="s">
        <v>25</v>
      </c>
      <c r="E3" s="18" t="s">
        <v>77</v>
      </c>
      <c r="F3" s="18" t="s">
        <v>15</v>
      </c>
      <c r="G3" s="8" t="s">
        <v>434</v>
      </c>
      <c r="H3" s="8" t="s">
        <v>428</v>
      </c>
    </row>
    <row r="4" spans="1:8" x14ac:dyDescent="0.3">
      <c r="A4" s="18" t="s">
        <v>244</v>
      </c>
      <c r="B4" s="18" t="s">
        <v>232</v>
      </c>
      <c r="C4" s="18" t="s">
        <v>239</v>
      </c>
      <c r="D4" s="18" t="s">
        <v>243</v>
      </c>
      <c r="E4" s="18" t="s">
        <v>25</v>
      </c>
      <c r="F4" s="18" t="s">
        <v>15</v>
      </c>
      <c r="G4" s="8" t="s">
        <v>429</v>
      </c>
      <c r="H4" s="8" t="s">
        <v>434</v>
      </c>
    </row>
    <row r="5" spans="1:8" x14ac:dyDescent="0.3">
      <c r="A5" s="18" t="s">
        <v>244</v>
      </c>
      <c r="B5" s="18" t="s">
        <v>233</v>
      </c>
      <c r="C5" s="18" t="s">
        <v>240</v>
      </c>
      <c r="D5" s="18" t="s">
        <v>25</v>
      </c>
      <c r="E5" s="18" t="s">
        <v>60</v>
      </c>
      <c r="F5" s="18" t="s">
        <v>15</v>
      </c>
      <c r="G5" s="8" t="s">
        <v>434</v>
      </c>
      <c r="H5" s="8" t="s">
        <v>430</v>
      </c>
    </row>
    <row r="6" spans="1:8" x14ac:dyDescent="0.3">
      <c r="A6" s="18" t="s">
        <v>244</v>
      </c>
      <c r="B6" s="18" t="s">
        <v>234</v>
      </c>
      <c r="C6" s="18" t="s">
        <v>241</v>
      </c>
      <c r="D6" s="18" t="s">
        <v>29</v>
      </c>
      <c r="E6" s="18" t="s">
        <v>25</v>
      </c>
      <c r="F6" s="18" t="s">
        <v>15</v>
      </c>
      <c r="G6" s="8" t="s">
        <v>431</v>
      </c>
      <c r="H6" s="8" t="s">
        <v>434</v>
      </c>
    </row>
    <row r="7" spans="1:8" x14ac:dyDescent="0.3">
      <c r="A7" s="18" t="s">
        <v>244</v>
      </c>
      <c r="B7" s="18" t="s">
        <v>235</v>
      </c>
      <c r="C7" s="18" t="s">
        <v>242</v>
      </c>
      <c r="D7" s="18" t="s">
        <v>25</v>
      </c>
      <c r="E7" s="18" t="s">
        <v>26</v>
      </c>
      <c r="F7" s="18" t="s">
        <v>15</v>
      </c>
      <c r="G7" s="8" t="s">
        <v>434</v>
      </c>
      <c r="H7" s="8" t="s">
        <v>432</v>
      </c>
    </row>
    <row r="8" spans="1:8" x14ac:dyDescent="0.3">
      <c r="A8" s="18" t="s">
        <v>244</v>
      </c>
      <c r="B8" s="18" t="s">
        <v>236</v>
      </c>
      <c r="C8" s="18" t="s">
        <v>237</v>
      </c>
      <c r="D8" s="18" t="s">
        <v>25</v>
      </c>
      <c r="E8" s="18" t="s">
        <v>72</v>
      </c>
      <c r="F8" s="18" t="s">
        <v>15</v>
      </c>
      <c r="G8" s="8" t="s">
        <v>434</v>
      </c>
      <c r="H8" s="8" t="s">
        <v>433</v>
      </c>
    </row>
  </sheetData>
  <autoFilter ref="A1:F8" xr:uid="{A9CAA2F4-D069-4AFB-965A-85F232469961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9BBCF-D3E4-4664-ABC5-0FC7D97EBCB1}">
  <sheetPr codeName="Sheet3">
    <tabColor theme="5" tint="0.79998168889431442"/>
  </sheetPr>
  <dimension ref="A1:E8"/>
  <sheetViews>
    <sheetView zoomScale="85" zoomScaleNormal="85" workbookViewId="0">
      <selection activeCell="J37" sqref="I37:J38"/>
    </sheetView>
  </sheetViews>
  <sheetFormatPr defaultColWidth="9.109375" defaultRowHeight="14.4" x14ac:dyDescent="0.3"/>
  <cols>
    <col min="1" max="1" width="17.88671875" style="8" bestFit="1" customWidth="1"/>
    <col min="2" max="2" width="10.6640625" style="8" bestFit="1" customWidth="1"/>
    <col min="3" max="3" width="26.33203125" style="8" bestFit="1" customWidth="1"/>
    <col min="4" max="4" width="19.44140625" style="8" bestFit="1" customWidth="1"/>
    <col min="5" max="5" width="11.6640625" style="8" bestFit="1" customWidth="1"/>
    <col min="6" max="16384" width="9.109375" style="8"/>
  </cols>
  <sheetData>
    <row r="1" spans="1:5" x14ac:dyDescent="0.3">
      <c r="A1" s="15" t="s">
        <v>9</v>
      </c>
      <c r="B1" s="16" t="s">
        <v>4</v>
      </c>
      <c r="C1" s="16" t="s">
        <v>13</v>
      </c>
      <c r="D1" s="16" t="s">
        <v>254</v>
      </c>
      <c r="E1" s="15" t="s">
        <v>14</v>
      </c>
    </row>
    <row r="2" spans="1:5" x14ac:dyDescent="0.3">
      <c r="A2" s="18" t="s">
        <v>366</v>
      </c>
      <c r="B2" s="18" t="s">
        <v>245</v>
      </c>
      <c r="C2" s="18" t="s">
        <v>378</v>
      </c>
      <c r="D2" s="18" t="s">
        <v>255</v>
      </c>
      <c r="E2" s="18" t="s">
        <v>15</v>
      </c>
    </row>
    <row r="3" spans="1:5" x14ac:dyDescent="0.3">
      <c r="A3" s="18" t="s">
        <v>366</v>
      </c>
      <c r="B3" s="18" t="s">
        <v>252</v>
      </c>
      <c r="C3" s="18" t="s">
        <v>246</v>
      </c>
      <c r="D3" s="18" t="s">
        <v>257</v>
      </c>
      <c r="E3" s="18" t="s">
        <v>15</v>
      </c>
    </row>
    <row r="4" spans="1:5" x14ac:dyDescent="0.3">
      <c r="A4" s="18" t="s">
        <v>366</v>
      </c>
      <c r="B4" s="18" t="s">
        <v>253</v>
      </c>
      <c r="C4" s="18" t="s">
        <v>247</v>
      </c>
      <c r="D4" s="18" t="s">
        <v>258</v>
      </c>
      <c r="E4" s="18" t="s">
        <v>15</v>
      </c>
    </row>
    <row r="5" spans="1:5" x14ac:dyDescent="0.3">
      <c r="A5" s="18" t="s">
        <v>366</v>
      </c>
      <c r="B5" s="18" t="s">
        <v>263</v>
      </c>
      <c r="C5" s="18" t="s">
        <v>248</v>
      </c>
      <c r="D5" s="18" t="s">
        <v>257</v>
      </c>
      <c r="E5" s="18" t="s">
        <v>15</v>
      </c>
    </row>
    <row r="6" spans="1:5" x14ac:dyDescent="0.3">
      <c r="A6" s="18" t="s">
        <v>366</v>
      </c>
      <c r="B6" s="18" t="s">
        <v>262</v>
      </c>
      <c r="C6" s="18" t="s">
        <v>249</v>
      </c>
      <c r="D6" s="18" t="s">
        <v>256</v>
      </c>
      <c r="E6" s="18" t="s">
        <v>15</v>
      </c>
    </row>
    <row r="7" spans="1:5" x14ac:dyDescent="0.3">
      <c r="A7" s="18" t="s">
        <v>366</v>
      </c>
      <c r="B7" s="18" t="s">
        <v>261</v>
      </c>
      <c r="C7" s="18" t="s">
        <v>259</v>
      </c>
      <c r="D7" s="18" t="s">
        <v>260</v>
      </c>
      <c r="E7" s="18" t="s">
        <v>15</v>
      </c>
    </row>
    <row r="8" spans="1:5" x14ac:dyDescent="0.3">
      <c r="A8" s="12" t="s">
        <v>369</v>
      </c>
      <c r="B8" s="12" t="s">
        <v>251</v>
      </c>
      <c r="C8" s="12" t="s">
        <v>250</v>
      </c>
      <c r="D8" s="12"/>
      <c r="E8" s="12" t="s">
        <v>15</v>
      </c>
    </row>
  </sheetData>
  <autoFilter ref="A1:E8" xr:uid="{F929BBCF-D3E4-4664-ABC5-0FC7D97EBCB1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7F483-68E0-48A4-920A-F339CD46DDAE}">
  <sheetPr codeName="Sheet4">
    <tabColor theme="5" tint="0.79998168889431442"/>
  </sheetPr>
  <dimension ref="A1:G47"/>
  <sheetViews>
    <sheetView zoomScale="70" zoomScaleNormal="70" workbookViewId="0">
      <selection activeCell="M7" sqref="M7:M8"/>
    </sheetView>
  </sheetViews>
  <sheetFormatPr defaultColWidth="9.109375" defaultRowHeight="14.4" x14ac:dyDescent="0.3"/>
  <cols>
    <col min="1" max="1" width="20.109375" style="8" bestFit="1" customWidth="1"/>
    <col min="2" max="2" width="13.109375" style="8" bestFit="1" customWidth="1"/>
    <col min="3" max="3" width="17.5546875" style="8" bestFit="1" customWidth="1"/>
    <col min="4" max="4" width="31.5546875" style="8" bestFit="1" customWidth="1"/>
    <col min="5" max="5" width="30.5546875" style="8" bestFit="1" customWidth="1"/>
    <col min="6" max="6" width="14.109375" style="8" bestFit="1" customWidth="1"/>
    <col min="7" max="16384" width="9.109375" style="8"/>
  </cols>
  <sheetData>
    <row r="1" spans="1:7" x14ac:dyDescent="0.3">
      <c r="A1" s="19" t="s">
        <v>9</v>
      </c>
      <c r="B1" s="20" t="s">
        <v>4</v>
      </c>
      <c r="C1" s="20" t="s">
        <v>13</v>
      </c>
      <c r="D1" s="19" t="s">
        <v>266</v>
      </c>
      <c r="E1" s="19" t="s">
        <v>264</v>
      </c>
      <c r="F1" s="19" t="s">
        <v>14</v>
      </c>
      <c r="G1" s="19" t="s">
        <v>256</v>
      </c>
    </row>
    <row r="2" spans="1:7" x14ac:dyDescent="0.3">
      <c r="A2" s="21" t="s">
        <v>265</v>
      </c>
      <c r="B2" s="21" t="s">
        <v>330</v>
      </c>
      <c r="C2" s="21" t="s">
        <v>299</v>
      </c>
      <c r="D2" s="21" t="s">
        <v>267</v>
      </c>
      <c r="E2" s="21" t="s">
        <v>271</v>
      </c>
      <c r="F2" s="21" t="s">
        <v>15</v>
      </c>
      <c r="G2" s="21" t="s">
        <v>419</v>
      </c>
    </row>
    <row r="3" spans="1:7" x14ac:dyDescent="0.3">
      <c r="A3" s="21" t="s">
        <v>265</v>
      </c>
      <c r="B3" s="21" t="s">
        <v>331</v>
      </c>
      <c r="C3" s="21" t="s">
        <v>300</v>
      </c>
      <c r="D3" s="21" t="s">
        <v>267</v>
      </c>
      <c r="E3" s="21" t="s">
        <v>271</v>
      </c>
      <c r="F3" s="21" t="s">
        <v>15</v>
      </c>
      <c r="G3" s="21" t="s">
        <v>419</v>
      </c>
    </row>
    <row r="4" spans="1:7" x14ac:dyDescent="0.3">
      <c r="A4" s="21" t="s">
        <v>265</v>
      </c>
      <c r="B4" s="21"/>
      <c r="C4" s="21" t="s">
        <v>301</v>
      </c>
      <c r="D4" s="21" t="s">
        <v>267</v>
      </c>
      <c r="E4" s="21" t="s">
        <v>271</v>
      </c>
      <c r="F4" s="21"/>
      <c r="G4" s="21"/>
    </row>
    <row r="5" spans="1:7" x14ac:dyDescent="0.3">
      <c r="A5" s="21" t="s">
        <v>265</v>
      </c>
      <c r="B5" s="21" t="s">
        <v>332</v>
      </c>
      <c r="C5" s="21" t="s">
        <v>295</v>
      </c>
      <c r="D5" s="21" t="s">
        <v>267</v>
      </c>
      <c r="E5" s="21" t="s">
        <v>302</v>
      </c>
      <c r="F5" s="21" t="s">
        <v>15</v>
      </c>
      <c r="G5" s="21" t="s">
        <v>419</v>
      </c>
    </row>
    <row r="6" spans="1:7" x14ac:dyDescent="0.3">
      <c r="A6" s="21" t="s">
        <v>265</v>
      </c>
      <c r="B6" s="21"/>
      <c r="C6" s="21" t="s">
        <v>296</v>
      </c>
      <c r="D6" s="21" t="s">
        <v>267</v>
      </c>
      <c r="E6" s="21" t="s">
        <v>302</v>
      </c>
      <c r="F6" s="21"/>
      <c r="G6" s="21"/>
    </row>
    <row r="7" spans="1:7" x14ac:dyDescent="0.3">
      <c r="A7" s="21" t="s">
        <v>265</v>
      </c>
      <c r="B7" s="21"/>
      <c r="C7" s="21" t="s">
        <v>297</v>
      </c>
      <c r="D7" s="21" t="s">
        <v>267</v>
      </c>
      <c r="E7" s="21" t="s">
        <v>302</v>
      </c>
      <c r="F7" s="21"/>
      <c r="G7" s="21"/>
    </row>
    <row r="8" spans="1:7" x14ac:dyDescent="0.3">
      <c r="A8" s="21" t="s">
        <v>265</v>
      </c>
      <c r="B8" s="21" t="s">
        <v>333</v>
      </c>
      <c r="C8" s="21" t="s">
        <v>298</v>
      </c>
      <c r="D8" s="21" t="s">
        <v>267</v>
      </c>
      <c r="E8" s="21" t="s">
        <v>302</v>
      </c>
      <c r="F8" s="21" t="s">
        <v>15</v>
      </c>
      <c r="G8" s="21" t="s">
        <v>419</v>
      </c>
    </row>
    <row r="9" spans="1:7" x14ac:dyDescent="0.3">
      <c r="A9" s="21" t="s">
        <v>265</v>
      </c>
      <c r="B9" s="21" t="s">
        <v>339</v>
      </c>
      <c r="C9" s="21" t="s">
        <v>272</v>
      </c>
      <c r="D9" s="21" t="s">
        <v>267</v>
      </c>
      <c r="E9" s="21"/>
      <c r="F9" s="21" t="s">
        <v>15</v>
      </c>
      <c r="G9" s="21" t="s">
        <v>419</v>
      </c>
    </row>
    <row r="10" spans="1:7" x14ac:dyDescent="0.3">
      <c r="A10" s="21" t="s">
        <v>265</v>
      </c>
      <c r="B10" s="21"/>
      <c r="C10" s="21" t="s">
        <v>273</v>
      </c>
      <c r="D10" s="21" t="s">
        <v>267</v>
      </c>
      <c r="E10" s="21"/>
      <c r="F10" s="21"/>
      <c r="G10" s="21"/>
    </row>
    <row r="11" spans="1:7" x14ac:dyDescent="0.3">
      <c r="A11" s="21" t="s">
        <v>265</v>
      </c>
      <c r="B11" s="21"/>
      <c r="C11" s="21" t="s">
        <v>294</v>
      </c>
      <c r="D11" s="21" t="s">
        <v>267</v>
      </c>
      <c r="E11" s="21"/>
      <c r="F11" s="21"/>
      <c r="G11" s="21"/>
    </row>
    <row r="12" spans="1:7" x14ac:dyDescent="0.3">
      <c r="A12" s="22" t="s">
        <v>265</v>
      </c>
      <c r="B12" s="22" t="s">
        <v>342</v>
      </c>
      <c r="C12" s="22" t="s">
        <v>278</v>
      </c>
      <c r="D12" s="22" t="s">
        <v>268</v>
      </c>
      <c r="E12" s="22" t="s">
        <v>303</v>
      </c>
      <c r="F12" s="22" t="s">
        <v>15</v>
      </c>
      <c r="G12" s="22" t="s">
        <v>420</v>
      </c>
    </row>
    <row r="13" spans="1:7" x14ac:dyDescent="0.3">
      <c r="A13" s="22" t="s">
        <v>265</v>
      </c>
      <c r="B13" s="22" t="s">
        <v>340</v>
      </c>
      <c r="C13" s="22" t="s">
        <v>277</v>
      </c>
      <c r="D13" s="22" t="s">
        <v>268</v>
      </c>
      <c r="E13" s="22" t="s">
        <v>303</v>
      </c>
      <c r="F13" s="22" t="s">
        <v>15</v>
      </c>
      <c r="G13" s="22" t="s">
        <v>420</v>
      </c>
    </row>
    <row r="14" spans="1:7" x14ac:dyDescent="0.3">
      <c r="A14" s="22" t="s">
        <v>265</v>
      </c>
      <c r="B14" s="22"/>
      <c r="C14" s="22" t="s">
        <v>304</v>
      </c>
      <c r="D14" s="22" t="s">
        <v>268</v>
      </c>
      <c r="E14" s="22" t="s">
        <v>303</v>
      </c>
      <c r="F14" s="22"/>
      <c r="G14" s="22"/>
    </row>
    <row r="15" spans="1:7" x14ac:dyDescent="0.3">
      <c r="A15" s="22" t="s">
        <v>265</v>
      </c>
      <c r="B15" s="22"/>
      <c r="C15" s="22" t="s">
        <v>305</v>
      </c>
      <c r="D15" s="22" t="s">
        <v>268</v>
      </c>
      <c r="E15" s="22" t="s">
        <v>303</v>
      </c>
      <c r="F15" s="22"/>
      <c r="G15" s="22"/>
    </row>
    <row r="16" spans="1:7" x14ac:dyDescent="0.3">
      <c r="A16" s="22" t="s">
        <v>265</v>
      </c>
      <c r="B16" s="22" t="s">
        <v>341</v>
      </c>
      <c r="C16" s="22" t="s">
        <v>306</v>
      </c>
      <c r="D16" s="22" t="s">
        <v>268</v>
      </c>
      <c r="E16" s="22" t="s">
        <v>303</v>
      </c>
      <c r="F16" s="22" t="s">
        <v>15</v>
      </c>
      <c r="G16" s="22" t="s">
        <v>420</v>
      </c>
    </row>
    <row r="17" spans="1:7" x14ac:dyDescent="0.3">
      <c r="A17" s="22" t="s">
        <v>265</v>
      </c>
      <c r="B17" s="22" t="s">
        <v>344</v>
      </c>
      <c r="C17" s="22" t="s">
        <v>343</v>
      </c>
      <c r="D17" s="22" t="s">
        <v>268</v>
      </c>
      <c r="E17" s="22" t="s">
        <v>303</v>
      </c>
      <c r="F17" s="22" t="s">
        <v>15</v>
      </c>
      <c r="G17" s="22" t="s">
        <v>420</v>
      </c>
    </row>
    <row r="18" spans="1:7" x14ac:dyDescent="0.3">
      <c r="A18" s="22" t="s">
        <v>265</v>
      </c>
      <c r="B18" s="22" t="s">
        <v>345</v>
      </c>
      <c r="C18" s="23" t="s">
        <v>279</v>
      </c>
      <c r="D18" s="22" t="s">
        <v>268</v>
      </c>
      <c r="E18" s="22" t="s">
        <v>307</v>
      </c>
      <c r="F18" s="22" t="s">
        <v>15</v>
      </c>
      <c r="G18" s="22" t="s">
        <v>420</v>
      </c>
    </row>
    <row r="19" spans="1:7" x14ac:dyDescent="0.3">
      <c r="A19" s="22" t="s">
        <v>265</v>
      </c>
      <c r="B19" s="22"/>
      <c r="C19" s="23" t="s">
        <v>308</v>
      </c>
      <c r="D19" s="22" t="s">
        <v>268</v>
      </c>
      <c r="E19" s="22" t="s">
        <v>307</v>
      </c>
      <c r="F19" s="22"/>
      <c r="G19" s="22"/>
    </row>
    <row r="20" spans="1:7" x14ac:dyDescent="0.3">
      <c r="A20" s="22" t="s">
        <v>265</v>
      </c>
      <c r="B20" s="22"/>
      <c r="C20" s="23" t="s">
        <v>309</v>
      </c>
      <c r="D20" s="22" t="s">
        <v>268</v>
      </c>
      <c r="E20" s="22" t="s">
        <v>307</v>
      </c>
      <c r="F20" s="22"/>
      <c r="G20" s="22"/>
    </row>
    <row r="21" spans="1:7" x14ac:dyDescent="0.3">
      <c r="A21" s="22" t="s">
        <v>265</v>
      </c>
      <c r="B21" s="22"/>
      <c r="C21" s="23" t="s">
        <v>310</v>
      </c>
      <c r="D21" s="22" t="s">
        <v>268</v>
      </c>
      <c r="E21" s="22" t="s">
        <v>307</v>
      </c>
      <c r="F21" s="22"/>
      <c r="G21" s="22"/>
    </row>
    <row r="22" spans="1:7" x14ac:dyDescent="0.3">
      <c r="A22" s="22" t="s">
        <v>265</v>
      </c>
      <c r="B22" s="22"/>
      <c r="C22" s="23" t="s">
        <v>312</v>
      </c>
      <c r="D22" s="22" t="s">
        <v>268</v>
      </c>
      <c r="E22" s="22" t="s">
        <v>311</v>
      </c>
      <c r="F22" s="22"/>
      <c r="G22" s="22"/>
    </row>
    <row r="23" spans="1:7" x14ac:dyDescent="0.3">
      <c r="A23" s="22" t="s">
        <v>265</v>
      </c>
      <c r="B23" s="22"/>
      <c r="C23" s="23" t="s">
        <v>313</v>
      </c>
      <c r="D23" s="22" t="s">
        <v>268</v>
      </c>
      <c r="E23" s="22" t="s">
        <v>311</v>
      </c>
      <c r="F23" s="22"/>
      <c r="G23" s="22"/>
    </row>
    <row r="24" spans="1:7" x14ac:dyDescent="0.3">
      <c r="A24" s="22" t="s">
        <v>265</v>
      </c>
      <c r="B24" s="22"/>
      <c r="C24" s="23" t="s">
        <v>314</v>
      </c>
      <c r="D24" s="22" t="s">
        <v>268</v>
      </c>
      <c r="E24" s="22" t="s">
        <v>311</v>
      </c>
      <c r="F24" s="22"/>
      <c r="G24" s="22"/>
    </row>
    <row r="25" spans="1:7" x14ac:dyDescent="0.3">
      <c r="A25" s="22" t="s">
        <v>265</v>
      </c>
      <c r="B25" s="22"/>
      <c r="C25" s="23" t="s">
        <v>315</v>
      </c>
      <c r="D25" s="22" t="s">
        <v>268</v>
      </c>
      <c r="E25" s="22" t="s">
        <v>311</v>
      </c>
      <c r="F25" s="22"/>
      <c r="G25" s="22"/>
    </row>
    <row r="26" spans="1:7" x14ac:dyDescent="0.3">
      <c r="A26" s="22" t="s">
        <v>265</v>
      </c>
      <c r="B26" s="22"/>
      <c r="C26" s="23" t="s">
        <v>285</v>
      </c>
      <c r="D26" s="22" t="s">
        <v>268</v>
      </c>
      <c r="E26" s="22" t="s">
        <v>329</v>
      </c>
      <c r="F26" s="22"/>
      <c r="G26" s="22"/>
    </row>
    <row r="27" spans="1:7" x14ac:dyDescent="0.3">
      <c r="A27" s="24" t="s">
        <v>265</v>
      </c>
      <c r="B27" s="24" t="s">
        <v>347</v>
      </c>
      <c r="C27" s="24" t="s">
        <v>287</v>
      </c>
      <c r="D27" s="24" t="s">
        <v>269</v>
      </c>
      <c r="E27" s="24" t="s">
        <v>316</v>
      </c>
      <c r="F27" s="24" t="s">
        <v>15</v>
      </c>
      <c r="G27" s="24" t="s">
        <v>404</v>
      </c>
    </row>
    <row r="28" spans="1:7" x14ac:dyDescent="0.3">
      <c r="A28" s="24" t="s">
        <v>265</v>
      </c>
      <c r="B28" s="24"/>
      <c r="C28" s="24" t="s">
        <v>317</v>
      </c>
      <c r="D28" s="24" t="s">
        <v>269</v>
      </c>
      <c r="E28" s="24" t="s">
        <v>316</v>
      </c>
      <c r="F28" s="24"/>
      <c r="G28" s="24"/>
    </row>
    <row r="29" spans="1:7" x14ac:dyDescent="0.3">
      <c r="A29" s="24" t="s">
        <v>265</v>
      </c>
      <c r="B29" s="24" t="s">
        <v>346</v>
      </c>
      <c r="C29" s="24" t="s">
        <v>286</v>
      </c>
      <c r="D29" s="24" t="s">
        <v>269</v>
      </c>
      <c r="E29" s="24" t="s">
        <v>319</v>
      </c>
      <c r="F29" s="24" t="s">
        <v>15</v>
      </c>
      <c r="G29" s="24" t="s">
        <v>404</v>
      </c>
    </row>
    <row r="30" spans="1:7" x14ac:dyDescent="0.3">
      <c r="A30" s="24" t="s">
        <v>265</v>
      </c>
      <c r="B30" s="24"/>
      <c r="C30" s="24" t="s">
        <v>318</v>
      </c>
      <c r="D30" s="24" t="s">
        <v>269</v>
      </c>
      <c r="E30" s="24" t="s">
        <v>319</v>
      </c>
      <c r="F30" s="24"/>
      <c r="G30" s="24"/>
    </row>
    <row r="31" spans="1:7" x14ac:dyDescent="0.3">
      <c r="A31" s="25" t="s">
        <v>265</v>
      </c>
      <c r="B31" s="25" t="s">
        <v>334</v>
      </c>
      <c r="C31" s="25" t="s">
        <v>274</v>
      </c>
      <c r="D31" s="25" t="s">
        <v>270</v>
      </c>
      <c r="E31" s="25" t="s">
        <v>288</v>
      </c>
      <c r="F31" s="25" t="s">
        <v>15</v>
      </c>
      <c r="G31" s="25" t="s">
        <v>421</v>
      </c>
    </row>
    <row r="32" spans="1:7" x14ac:dyDescent="0.3">
      <c r="A32" s="25" t="s">
        <v>265</v>
      </c>
      <c r="B32" s="25" t="s">
        <v>335</v>
      </c>
      <c r="C32" s="25" t="s">
        <v>275</v>
      </c>
      <c r="D32" s="25" t="s">
        <v>270</v>
      </c>
      <c r="E32" s="25" t="s">
        <v>288</v>
      </c>
      <c r="F32" s="25" t="s">
        <v>15</v>
      </c>
      <c r="G32" s="25" t="s">
        <v>421</v>
      </c>
    </row>
    <row r="33" spans="1:7" x14ac:dyDescent="0.3">
      <c r="A33" s="25" t="s">
        <v>265</v>
      </c>
      <c r="B33" s="25" t="s">
        <v>336</v>
      </c>
      <c r="C33" s="25" t="s">
        <v>290</v>
      </c>
      <c r="D33" s="25" t="s">
        <v>270</v>
      </c>
      <c r="E33" s="25" t="s">
        <v>288</v>
      </c>
      <c r="F33" s="25" t="s">
        <v>15</v>
      </c>
      <c r="G33" s="25" t="s">
        <v>421</v>
      </c>
    </row>
    <row r="34" spans="1:7" x14ac:dyDescent="0.3">
      <c r="A34" s="25" t="s">
        <v>265</v>
      </c>
      <c r="B34" s="25" t="s">
        <v>338</v>
      </c>
      <c r="C34" s="25" t="s">
        <v>283</v>
      </c>
      <c r="D34" s="25" t="s">
        <v>270</v>
      </c>
      <c r="E34" s="25" t="s">
        <v>288</v>
      </c>
      <c r="F34" s="25" t="s">
        <v>15</v>
      </c>
      <c r="G34" s="25" t="s">
        <v>419</v>
      </c>
    </row>
    <row r="35" spans="1:7" x14ac:dyDescent="0.3">
      <c r="A35" s="25" t="s">
        <v>265</v>
      </c>
      <c r="B35" s="25" t="s">
        <v>337</v>
      </c>
      <c r="C35" s="25" t="s">
        <v>276</v>
      </c>
      <c r="D35" s="25" t="s">
        <v>270</v>
      </c>
      <c r="E35" s="25" t="s">
        <v>289</v>
      </c>
      <c r="F35" s="25" t="s">
        <v>15</v>
      </c>
      <c r="G35" s="25" t="s">
        <v>419</v>
      </c>
    </row>
    <row r="36" spans="1:7" x14ac:dyDescent="0.3">
      <c r="A36" s="25" t="s">
        <v>265</v>
      </c>
      <c r="B36" s="25"/>
      <c r="C36" s="25" t="s">
        <v>291</v>
      </c>
      <c r="D36" s="25" t="s">
        <v>270</v>
      </c>
      <c r="E36" s="25" t="s">
        <v>289</v>
      </c>
      <c r="F36" s="25"/>
      <c r="G36" s="25"/>
    </row>
    <row r="37" spans="1:7" x14ac:dyDescent="0.3">
      <c r="A37" s="25" t="s">
        <v>265</v>
      </c>
      <c r="B37" s="25"/>
      <c r="C37" s="25" t="s">
        <v>321</v>
      </c>
      <c r="D37" s="25" t="s">
        <v>270</v>
      </c>
      <c r="E37" s="25" t="s">
        <v>289</v>
      </c>
      <c r="F37" s="25"/>
      <c r="G37" s="25"/>
    </row>
    <row r="38" spans="1:7" x14ac:dyDescent="0.3">
      <c r="A38" s="25" t="s">
        <v>265</v>
      </c>
      <c r="B38" s="25"/>
      <c r="C38" s="25" t="s">
        <v>320</v>
      </c>
      <c r="D38" s="25" t="s">
        <v>270</v>
      </c>
      <c r="E38" s="25" t="s">
        <v>292</v>
      </c>
      <c r="F38" s="25"/>
      <c r="G38" s="25"/>
    </row>
    <row r="39" spans="1:7" x14ac:dyDescent="0.3">
      <c r="A39" s="25" t="s">
        <v>265</v>
      </c>
      <c r="B39" s="25"/>
      <c r="C39" s="25" t="s">
        <v>293</v>
      </c>
      <c r="D39" s="25" t="s">
        <v>270</v>
      </c>
      <c r="E39" s="25" t="s">
        <v>292</v>
      </c>
      <c r="F39" s="25"/>
      <c r="G39" s="25"/>
    </row>
    <row r="40" spans="1:7" x14ac:dyDescent="0.3">
      <c r="A40" s="26" t="s">
        <v>265</v>
      </c>
      <c r="B40" s="26" t="s">
        <v>349</v>
      </c>
      <c r="C40" s="26" t="s">
        <v>280</v>
      </c>
      <c r="D40" s="26" t="s">
        <v>322</v>
      </c>
      <c r="E40" s="26" t="s">
        <v>323</v>
      </c>
      <c r="F40" s="26" t="s">
        <v>15</v>
      </c>
      <c r="G40" s="26" t="s">
        <v>422</v>
      </c>
    </row>
    <row r="41" spans="1:7" x14ac:dyDescent="0.3">
      <c r="A41" s="26" t="s">
        <v>265</v>
      </c>
      <c r="B41" s="26" t="s">
        <v>348</v>
      </c>
      <c r="C41" s="26" t="s">
        <v>282</v>
      </c>
      <c r="D41" s="26" t="s">
        <v>322</v>
      </c>
      <c r="E41" s="26" t="s">
        <v>323</v>
      </c>
      <c r="F41" s="26" t="s">
        <v>15</v>
      </c>
      <c r="G41" s="26" t="s">
        <v>422</v>
      </c>
    </row>
    <row r="42" spans="1:7" x14ac:dyDescent="0.3">
      <c r="A42" s="26" t="s">
        <v>265</v>
      </c>
      <c r="B42" s="26"/>
      <c r="C42" s="26" t="s">
        <v>324</v>
      </c>
      <c r="D42" s="26" t="s">
        <v>322</v>
      </c>
      <c r="E42" s="26" t="s">
        <v>323</v>
      </c>
      <c r="F42" s="26"/>
      <c r="G42" s="26"/>
    </row>
    <row r="43" spans="1:7" x14ac:dyDescent="0.3">
      <c r="A43" s="26" t="s">
        <v>265</v>
      </c>
      <c r="B43" s="26" t="s">
        <v>350</v>
      </c>
      <c r="C43" s="26" t="s">
        <v>326</v>
      </c>
      <c r="D43" s="26" t="s">
        <v>322</v>
      </c>
      <c r="E43" s="26" t="s">
        <v>325</v>
      </c>
      <c r="F43" s="26" t="s">
        <v>15</v>
      </c>
      <c r="G43" s="26" t="s">
        <v>422</v>
      </c>
    </row>
    <row r="44" spans="1:7" x14ac:dyDescent="0.3">
      <c r="A44" s="26" t="s">
        <v>265</v>
      </c>
      <c r="B44" s="26"/>
      <c r="C44" s="26" t="s">
        <v>327</v>
      </c>
      <c r="D44" s="26" t="s">
        <v>322</v>
      </c>
      <c r="E44" s="26" t="s">
        <v>325</v>
      </c>
      <c r="F44" s="26"/>
      <c r="G44" s="26"/>
    </row>
    <row r="45" spans="1:7" x14ac:dyDescent="0.3">
      <c r="A45" s="26" t="s">
        <v>265</v>
      </c>
      <c r="B45" s="26" t="s">
        <v>352</v>
      </c>
      <c r="C45" s="26" t="s">
        <v>281</v>
      </c>
      <c r="D45" s="26" t="s">
        <v>322</v>
      </c>
      <c r="E45" s="26"/>
      <c r="F45" s="26" t="s">
        <v>15</v>
      </c>
      <c r="G45" s="26" t="s">
        <v>422</v>
      </c>
    </row>
    <row r="46" spans="1:7" x14ac:dyDescent="0.3">
      <c r="A46" s="26" t="s">
        <v>265</v>
      </c>
      <c r="B46" s="26"/>
      <c r="C46" s="26" t="s">
        <v>328</v>
      </c>
      <c r="D46" s="26" t="s">
        <v>322</v>
      </c>
      <c r="E46" s="26"/>
      <c r="F46" s="26"/>
      <c r="G46" s="26"/>
    </row>
    <row r="47" spans="1:7" x14ac:dyDescent="0.3">
      <c r="A47" s="26" t="s">
        <v>265</v>
      </c>
      <c r="B47" s="26" t="s">
        <v>351</v>
      </c>
      <c r="C47" s="26" t="s">
        <v>284</v>
      </c>
      <c r="D47" s="26" t="s">
        <v>322</v>
      </c>
      <c r="E47" s="26"/>
      <c r="F47" s="26" t="s">
        <v>15</v>
      </c>
      <c r="G47" s="26" t="s">
        <v>422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Macro</vt:lpstr>
      <vt:lpstr>Statistics</vt:lpstr>
      <vt:lpstr>equity</vt:lpstr>
      <vt:lpstr>bond</vt:lpstr>
      <vt:lpstr>forex</vt:lpstr>
      <vt:lpstr>cryptocurrency</vt:lpstr>
      <vt:lpstr>commodity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Low</cp:lastModifiedBy>
  <dcterms:created xsi:type="dcterms:W3CDTF">2024-11-02T09:40:07Z</dcterms:created>
  <dcterms:modified xsi:type="dcterms:W3CDTF">2025-11-11T18:08:19Z</dcterms:modified>
</cp:coreProperties>
</file>